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wofa\Desktop\MaturaInformatyka\25_06_cke\"/>
    </mc:Choice>
  </mc:AlternateContent>
  <xr:revisionPtr revIDLastSave="0" documentId="13_ncr:1_{6DA72FA8-5B12-42BC-B777-791FEF68597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otowoltaika" sheetId="2" r:id="rId1"/>
  </sheets>
  <definedNames>
    <definedName name="ExternalData_1" localSheetId="0" hidden="1">fotowoltaika!$A$1:$G$366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 a="1"/>
  <c r="R4" i="2" s="1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" i="2"/>
  <c r="I3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2" i="2"/>
  <c r="R3" i="2"/>
  <c r="M2" i="2" l="1"/>
  <c r="K17" i="2"/>
  <c r="K18" i="2" s="1"/>
  <c r="K19" i="2" s="1"/>
  <c r="K20" i="2" s="1"/>
  <c r="K21" i="2" s="1"/>
  <c r="K22" i="2" s="1"/>
  <c r="L22" i="2" s="1"/>
  <c r="M16" i="2"/>
  <c r="M15" i="2"/>
  <c r="M14" i="2"/>
  <c r="M8" i="2"/>
  <c r="M7" i="2"/>
  <c r="L9" i="2"/>
  <c r="M6" i="2"/>
  <c r="M13" i="2"/>
  <c r="M5" i="2"/>
  <c r="M12" i="2"/>
  <c r="M4" i="2"/>
  <c r="M19" i="2"/>
  <c r="M11" i="2"/>
  <c r="M3" i="2"/>
  <c r="M18" i="2"/>
  <c r="M10" i="2"/>
  <c r="L17" i="2"/>
  <c r="M17" i="2"/>
  <c r="M9" i="2"/>
  <c r="L16" i="2"/>
  <c r="L2" i="2"/>
  <c r="L15" i="2"/>
  <c r="L7" i="2"/>
  <c r="L8" i="2"/>
  <c r="L14" i="2"/>
  <c r="L6" i="2"/>
  <c r="L21" i="2"/>
  <c r="L13" i="2"/>
  <c r="L5" i="2"/>
  <c r="L12" i="2"/>
  <c r="L4" i="2"/>
  <c r="L19" i="2"/>
  <c r="L11" i="2"/>
  <c r="L3" i="2"/>
  <c r="L10" i="2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M20" i="2" l="1"/>
  <c r="L20" i="2"/>
  <c r="M21" i="2"/>
  <c r="L18" i="2"/>
  <c r="K23" i="2"/>
  <c r="M22" i="2"/>
  <c r="S4" i="2"/>
  <c r="K24" i="2" l="1"/>
  <c r="L23" i="2"/>
  <c r="M23" i="2"/>
  <c r="K25" i="2" l="1"/>
  <c r="M24" i="2"/>
  <c r="L24" i="2"/>
  <c r="K26" i="2" l="1"/>
  <c r="L25" i="2"/>
  <c r="M25" i="2"/>
  <c r="K27" i="2" l="1"/>
  <c r="M26" i="2"/>
  <c r="L26" i="2"/>
  <c r="K28" i="2" l="1"/>
  <c r="L27" i="2"/>
  <c r="M27" i="2"/>
  <c r="K29" i="2" l="1"/>
  <c r="M28" i="2"/>
  <c r="L28" i="2"/>
  <c r="K30" i="2" l="1"/>
  <c r="L29" i="2"/>
  <c r="M29" i="2"/>
  <c r="K31" i="2" l="1"/>
  <c r="M30" i="2"/>
  <c r="L30" i="2"/>
  <c r="K32" i="2" l="1"/>
  <c r="M31" i="2"/>
  <c r="L31" i="2"/>
  <c r="K33" i="2" l="1"/>
  <c r="M32" i="2"/>
  <c r="L32" i="2"/>
  <c r="K34" i="2" l="1"/>
  <c r="L33" i="2"/>
  <c r="M33" i="2"/>
  <c r="K35" i="2" l="1"/>
  <c r="M34" i="2"/>
  <c r="L34" i="2"/>
  <c r="K36" i="2" l="1"/>
  <c r="M35" i="2"/>
  <c r="L35" i="2"/>
  <c r="K37" i="2" l="1"/>
  <c r="L36" i="2"/>
  <c r="M36" i="2"/>
  <c r="K38" i="2" l="1"/>
  <c r="M37" i="2"/>
  <c r="L37" i="2"/>
  <c r="K39" i="2" l="1"/>
  <c r="M38" i="2"/>
  <c r="L38" i="2"/>
  <c r="K40" i="2" l="1"/>
  <c r="L39" i="2"/>
  <c r="M39" i="2"/>
  <c r="K41" i="2" l="1"/>
  <c r="L40" i="2"/>
  <c r="M40" i="2"/>
  <c r="K42" i="2" l="1"/>
  <c r="L41" i="2"/>
  <c r="M41" i="2"/>
  <c r="K43" i="2" l="1"/>
  <c r="M42" i="2"/>
  <c r="L42" i="2"/>
  <c r="K44" i="2" l="1"/>
  <c r="M43" i="2"/>
  <c r="L43" i="2"/>
  <c r="K45" i="2" l="1"/>
  <c r="M44" i="2"/>
  <c r="L44" i="2"/>
  <c r="K46" i="2" l="1"/>
  <c r="M45" i="2"/>
  <c r="L45" i="2"/>
  <c r="K47" i="2" l="1"/>
  <c r="L46" i="2"/>
  <c r="M46" i="2"/>
  <c r="K48" i="2" l="1"/>
  <c r="M47" i="2"/>
  <c r="L47" i="2"/>
  <c r="K49" i="2" l="1"/>
  <c r="M48" i="2"/>
  <c r="L48" i="2"/>
  <c r="K50" i="2" l="1"/>
  <c r="M49" i="2"/>
  <c r="L49" i="2"/>
  <c r="K51" i="2" l="1"/>
  <c r="M50" i="2"/>
  <c r="L50" i="2"/>
  <c r="K52" i="2" l="1"/>
  <c r="L51" i="2"/>
  <c r="M51" i="2"/>
  <c r="K53" i="2" l="1"/>
  <c r="M52" i="2"/>
  <c r="L52" i="2"/>
  <c r="K54" i="2" l="1"/>
  <c r="M53" i="2"/>
  <c r="L53" i="2"/>
  <c r="K55" i="2" l="1"/>
  <c r="L54" i="2"/>
  <c r="M54" i="2"/>
  <c r="K56" i="2" l="1"/>
  <c r="L55" i="2"/>
  <c r="M55" i="2"/>
  <c r="K57" i="2" l="1"/>
  <c r="L56" i="2"/>
  <c r="M56" i="2"/>
  <c r="K58" i="2" l="1"/>
  <c r="M57" i="2"/>
  <c r="L57" i="2"/>
  <c r="K59" i="2" l="1"/>
  <c r="M58" i="2"/>
  <c r="L58" i="2"/>
  <c r="K60" i="2" l="1"/>
  <c r="M59" i="2"/>
  <c r="L59" i="2"/>
  <c r="K61" i="2" l="1"/>
  <c r="M60" i="2"/>
  <c r="L60" i="2"/>
  <c r="K62" i="2" l="1"/>
  <c r="L61" i="2"/>
  <c r="M61" i="2"/>
  <c r="K63" i="2" l="1"/>
  <c r="M62" i="2"/>
  <c r="L62" i="2"/>
  <c r="K64" i="2" l="1"/>
  <c r="L63" i="2"/>
  <c r="M63" i="2"/>
  <c r="K65" i="2" l="1"/>
  <c r="L64" i="2"/>
  <c r="M64" i="2"/>
  <c r="K66" i="2" l="1"/>
  <c r="L65" i="2"/>
  <c r="M65" i="2"/>
  <c r="K67" i="2" l="1"/>
  <c r="L66" i="2"/>
  <c r="M66" i="2"/>
  <c r="K68" i="2" l="1"/>
  <c r="M67" i="2"/>
  <c r="L67" i="2"/>
  <c r="K69" i="2" l="1"/>
  <c r="M68" i="2"/>
  <c r="L68" i="2"/>
  <c r="K70" i="2" l="1"/>
  <c r="L69" i="2"/>
  <c r="M69" i="2"/>
  <c r="K71" i="2" l="1"/>
  <c r="L70" i="2"/>
  <c r="M70" i="2"/>
  <c r="K72" i="2" l="1"/>
  <c r="L71" i="2"/>
  <c r="M71" i="2"/>
  <c r="K73" i="2" l="1"/>
  <c r="M72" i="2"/>
  <c r="L72" i="2"/>
  <c r="K74" i="2" l="1"/>
  <c r="L73" i="2"/>
  <c r="M73" i="2"/>
  <c r="K75" i="2" l="1"/>
  <c r="L74" i="2"/>
  <c r="M74" i="2"/>
  <c r="K76" i="2" l="1"/>
  <c r="M75" i="2"/>
  <c r="L75" i="2"/>
  <c r="K77" i="2" l="1"/>
  <c r="M76" i="2"/>
  <c r="L76" i="2"/>
  <c r="K78" i="2" l="1"/>
  <c r="L77" i="2"/>
  <c r="M77" i="2"/>
  <c r="K79" i="2" l="1"/>
  <c r="L78" i="2"/>
  <c r="M78" i="2"/>
  <c r="K80" i="2" l="1"/>
  <c r="M79" i="2"/>
  <c r="L79" i="2"/>
  <c r="K81" i="2" l="1"/>
  <c r="M80" i="2"/>
  <c r="L80" i="2"/>
  <c r="K82" i="2" l="1"/>
  <c r="L81" i="2"/>
  <c r="M81" i="2"/>
  <c r="K83" i="2" l="1"/>
  <c r="M82" i="2"/>
  <c r="L82" i="2"/>
  <c r="K84" i="2" l="1"/>
  <c r="M83" i="2"/>
  <c r="L83" i="2"/>
  <c r="K85" i="2" l="1"/>
  <c r="M84" i="2"/>
  <c r="L84" i="2"/>
  <c r="K86" i="2" l="1"/>
  <c r="L85" i="2"/>
  <c r="M85" i="2"/>
  <c r="K87" i="2" l="1"/>
  <c r="M86" i="2"/>
  <c r="L86" i="2"/>
  <c r="K88" i="2" l="1"/>
  <c r="M87" i="2"/>
  <c r="L87" i="2"/>
  <c r="K89" i="2" l="1"/>
  <c r="M88" i="2"/>
  <c r="L88" i="2"/>
  <c r="K90" i="2" l="1"/>
  <c r="M89" i="2"/>
  <c r="L89" i="2"/>
  <c r="K91" i="2" l="1"/>
  <c r="M90" i="2"/>
  <c r="L90" i="2"/>
  <c r="K92" i="2" l="1"/>
  <c r="L91" i="2"/>
  <c r="M91" i="2"/>
  <c r="K93" i="2" l="1"/>
  <c r="L92" i="2"/>
  <c r="M92" i="2"/>
  <c r="K94" i="2" l="1"/>
  <c r="L93" i="2"/>
  <c r="M93" i="2"/>
  <c r="K95" i="2" l="1"/>
  <c r="M94" i="2"/>
  <c r="L94" i="2"/>
  <c r="K96" i="2" l="1"/>
  <c r="M95" i="2"/>
  <c r="L95" i="2"/>
  <c r="K97" i="2" l="1"/>
  <c r="L96" i="2"/>
  <c r="M96" i="2"/>
  <c r="K98" i="2" l="1"/>
  <c r="L97" i="2"/>
  <c r="M97" i="2"/>
  <c r="K99" i="2" l="1"/>
  <c r="M98" i="2"/>
  <c r="L98" i="2"/>
  <c r="K100" i="2" l="1"/>
  <c r="M99" i="2"/>
  <c r="L99" i="2"/>
  <c r="K101" i="2" l="1"/>
  <c r="L100" i="2"/>
  <c r="M100" i="2"/>
  <c r="K102" i="2" l="1"/>
  <c r="M101" i="2"/>
  <c r="L101" i="2"/>
  <c r="K103" i="2" l="1"/>
  <c r="M102" i="2"/>
  <c r="L102" i="2"/>
  <c r="K104" i="2" l="1"/>
  <c r="L103" i="2"/>
  <c r="M103" i="2"/>
  <c r="K105" i="2" l="1"/>
  <c r="M104" i="2"/>
  <c r="L104" i="2"/>
  <c r="K106" i="2" l="1"/>
  <c r="M105" i="2"/>
  <c r="L105" i="2"/>
  <c r="K107" i="2" l="1"/>
  <c r="M106" i="2"/>
  <c r="L106" i="2"/>
  <c r="K108" i="2" l="1"/>
  <c r="M107" i="2"/>
  <c r="L107" i="2"/>
  <c r="K109" i="2" l="1"/>
  <c r="M108" i="2"/>
  <c r="L108" i="2"/>
  <c r="K110" i="2" l="1"/>
  <c r="M109" i="2"/>
  <c r="L109" i="2"/>
  <c r="K111" i="2" l="1"/>
  <c r="L110" i="2"/>
  <c r="M110" i="2"/>
  <c r="K112" i="2" l="1"/>
  <c r="L111" i="2"/>
  <c r="M111" i="2"/>
  <c r="K113" i="2" l="1"/>
  <c r="M112" i="2"/>
  <c r="L112" i="2"/>
  <c r="K114" i="2" l="1"/>
  <c r="M113" i="2"/>
  <c r="L113" i="2"/>
  <c r="K115" i="2" l="1"/>
  <c r="M114" i="2"/>
  <c r="L114" i="2"/>
  <c r="K116" i="2" l="1"/>
  <c r="L115" i="2"/>
  <c r="M115" i="2"/>
  <c r="K117" i="2" l="1"/>
  <c r="M116" i="2"/>
  <c r="L116" i="2"/>
  <c r="K118" i="2" l="1"/>
  <c r="L117" i="2"/>
  <c r="M117" i="2"/>
  <c r="K119" i="2" l="1"/>
  <c r="L118" i="2"/>
  <c r="M118" i="2"/>
  <c r="K120" i="2" l="1"/>
  <c r="L119" i="2"/>
  <c r="M119" i="2"/>
  <c r="K121" i="2" l="1"/>
  <c r="M120" i="2"/>
  <c r="L120" i="2"/>
  <c r="K122" i="2" l="1"/>
  <c r="M121" i="2"/>
  <c r="L121" i="2"/>
  <c r="K123" i="2" l="1"/>
  <c r="L122" i="2"/>
  <c r="M122" i="2"/>
  <c r="K124" i="2" l="1"/>
  <c r="M123" i="2"/>
  <c r="L123" i="2"/>
  <c r="K125" i="2" l="1"/>
  <c r="M124" i="2"/>
  <c r="L124" i="2"/>
  <c r="K126" i="2" l="1"/>
  <c r="L125" i="2"/>
  <c r="M125" i="2"/>
  <c r="K127" i="2" l="1"/>
  <c r="M126" i="2"/>
  <c r="L126" i="2"/>
  <c r="K128" i="2" l="1"/>
  <c r="L127" i="2"/>
  <c r="M127" i="2"/>
  <c r="K129" i="2" l="1"/>
  <c r="L128" i="2"/>
  <c r="M128" i="2"/>
  <c r="K130" i="2" l="1"/>
  <c r="M129" i="2"/>
  <c r="L129" i="2"/>
  <c r="K131" i="2" l="1"/>
  <c r="M130" i="2"/>
  <c r="L130" i="2"/>
  <c r="K132" i="2" l="1"/>
  <c r="M131" i="2"/>
  <c r="L131" i="2"/>
  <c r="K133" i="2" l="1"/>
  <c r="M132" i="2"/>
  <c r="L132" i="2"/>
  <c r="K134" i="2" l="1"/>
  <c r="L133" i="2"/>
  <c r="M133" i="2"/>
  <c r="K135" i="2" l="1"/>
  <c r="L134" i="2"/>
  <c r="M134" i="2"/>
  <c r="K136" i="2" l="1"/>
  <c r="M135" i="2"/>
  <c r="L135" i="2"/>
  <c r="K137" i="2" l="1"/>
  <c r="M136" i="2"/>
  <c r="L136" i="2"/>
  <c r="K138" i="2" l="1"/>
  <c r="L137" i="2"/>
  <c r="M137" i="2"/>
  <c r="K139" i="2" l="1"/>
  <c r="L138" i="2"/>
  <c r="M138" i="2"/>
  <c r="K140" i="2" l="1"/>
  <c r="L139" i="2"/>
  <c r="M139" i="2"/>
  <c r="K141" i="2" l="1"/>
  <c r="M140" i="2"/>
  <c r="L140" i="2"/>
  <c r="K142" i="2" l="1"/>
  <c r="L141" i="2"/>
  <c r="M141" i="2"/>
  <c r="K143" i="2" l="1"/>
  <c r="L142" i="2"/>
  <c r="M142" i="2"/>
  <c r="K144" i="2" l="1"/>
  <c r="M143" i="2"/>
  <c r="L143" i="2"/>
  <c r="K145" i="2" l="1"/>
  <c r="M144" i="2"/>
  <c r="L144" i="2"/>
  <c r="K146" i="2" l="1"/>
  <c r="L145" i="2"/>
  <c r="M145" i="2"/>
  <c r="K147" i="2" l="1"/>
  <c r="M146" i="2"/>
  <c r="L146" i="2"/>
  <c r="K148" i="2" l="1"/>
  <c r="M147" i="2"/>
  <c r="L147" i="2"/>
  <c r="K149" i="2" l="1"/>
  <c r="M148" i="2"/>
  <c r="L148" i="2"/>
  <c r="K150" i="2" l="1"/>
  <c r="L149" i="2"/>
  <c r="M149" i="2"/>
  <c r="K151" i="2" l="1"/>
  <c r="L150" i="2"/>
  <c r="M150" i="2"/>
  <c r="K152" i="2" l="1"/>
  <c r="M151" i="2"/>
  <c r="L151" i="2"/>
  <c r="K153" i="2" l="1"/>
  <c r="M152" i="2"/>
  <c r="L152" i="2"/>
  <c r="K154" i="2" l="1"/>
  <c r="L153" i="2"/>
  <c r="M153" i="2"/>
  <c r="K155" i="2" l="1"/>
  <c r="M154" i="2"/>
  <c r="L154" i="2"/>
  <c r="K156" i="2" l="1"/>
  <c r="L155" i="2"/>
  <c r="M155" i="2"/>
  <c r="K157" i="2" l="1"/>
  <c r="L156" i="2"/>
  <c r="M156" i="2"/>
  <c r="K158" i="2" l="1"/>
  <c r="L157" i="2"/>
  <c r="M157" i="2"/>
  <c r="K159" i="2" l="1"/>
  <c r="M158" i="2"/>
  <c r="L158" i="2"/>
  <c r="K160" i="2" l="1"/>
  <c r="L159" i="2"/>
  <c r="M159" i="2"/>
  <c r="K161" i="2" l="1"/>
  <c r="M160" i="2"/>
  <c r="L160" i="2"/>
  <c r="K162" i="2" l="1"/>
  <c r="L161" i="2"/>
  <c r="M161" i="2"/>
  <c r="K163" i="2" l="1"/>
  <c r="M162" i="2"/>
  <c r="L162" i="2"/>
  <c r="K164" i="2" l="1"/>
  <c r="M163" i="2"/>
  <c r="L163" i="2"/>
  <c r="K165" i="2" l="1"/>
  <c r="L164" i="2"/>
  <c r="M164" i="2"/>
  <c r="K166" i="2" l="1"/>
  <c r="M165" i="2"/>
  <c r="L165" i="2"/>
  <c r="K167" i="2" l="1"/>
  <c r="L166" i="2"/>
  <c r="M166" i="2"/>
  <c r="K168" i="2" l="1"/>
  <c r="L167" i="2"/>
  <c r="M167" i="2"/>
  <c r="K169" i="2" l="1"/>
  <c r="M168" i="2"/>
  <c r="L168" i="2"/>
  <c r="K170" i="2" l="1"/>
  <c r="M169" i="2"/>
  <c r="L169" i="2"/>
  <c r="K171" i="2" l="1"/>
  <c r="M170" i="2"/>
  <c r="L170" i="2"/>
  <c r="K172" i="2" l="1"/>
  <c r="M171" i="2"/>
  <c r="L171" i="2"/>
  <c r="K173" i="2" l="1"/>
  <c r="M172" i="2"/>
  <c r="L172" i="2"/>
  <c r="K174" i="2" l="1"/>
  <c r="L173" i="2"/>
  <c r="M173" i="2"/>
  <c r="K175" i="2" l="1"/>
  <c r="M174" i="2"/>
  <c r="L174" i="2"/>
  <c r="K176" i="2" l="1"/>
  <c r="L175" i="2"/>
  <c r="M175" i="2"/>
  <c r="K177" i="2" l="1"/>
  <c r="L176" i="2"/>
  <c r="M176" i="2"/>
  <c r="K178" i="2" l="1"/>
  <c r="M177" i="2"/>
  <c r="L177" i="2"/>
  <c r="K179" i="2" l="1"/>
  <c r="M178" i="2"/>
  <c r="L178" i="2"/>
  <c r="K180" i="2" l="1"/>
  <c r="L179" i="2"/>
  <c r="M179" i="2"/>
  <c r="K181" i="2" l="1"/>
  <c r="M180" i="2"/>
  <c r="L180" i="2"/>
  <c r="K182" i="2" l="1"/>
  <c r="M181" i="2"/>
  <c r="L181" i="2"/>
  <c r="K183" i="2" l="1"/>
  <c r="L182" i="2"/>
  <c r="M182" i="2"/>
  <c r="K184" i="2" l="1"/>
  <c r="M183" i="2"/>
  <c r="L183" i="2"/>
  <c r="K185" i="2" l="1"/>
  <c r="M184" i="2"/>
  <c r="L184" i="2"/>
  <c r="K186" i="2" l="1"/>
  <c r="M185" i="2"/>
  <c r="L185" i="2"/>
  <c r="K187" i="2" l="1"/>
  <c r="M186" i="2"/>
  <c r="L186" i="2"/>
  <c r="K188" i="2" l="1"/>
  <c r="M187" i="2"/>
  <c r="L187" i="2"/>
  <c r="K189" i="2" l="1"/>
  <c r="M188" i="2"/>
  <c r="L188" i="2"/>
  <c r="K190" i="2" l="1"/>
  <c r="L189" i="2"/>
  <c r="M189" i="2"/>
  <c r="K191" i="2" l="1"/>
  <c r="L190" i="2"/>
  <c r="M190" i="2"/>
  <c r="K192" i="2" l="1"/>
  <c r="L191" i="2"/>
  <c r="M191" i="2"/>
  <c r="K193" i="2" l="1"/>
  <c r="L192" i="2"/>
  <c r="M192" i="2"/>
  <c r="K194" i="2" l="1"/>
  <c r="L193" i="2"/>
  <c r="M193" i="2"/>
  <c r="K195" i="2" l="1"/>
  <c r="M194" i="2"/>
  <c r="L194" i="2"/>
  <c r="K196" i="2" l="1"/>
  <c r="M195" i="2"/>
  <c r="L195" i="2"/>
  <c r="K197" i="2" l="1"/>
  <c r="M196" i="2"/>
  <c r="L196" i="2"/>
  <c r="K198" i="2" l="1"/>
  <c r="L197" i="2"/>
  <c r="M197" i="2"/>
  <c r="K199" i="2" l="1"/>
  <c r="L198" i="2"/>
  <c r="M198" i="2"/>
  <c r="K200" i="2" l="1"/>
  <c r="M199" i="2"/>
  <c r="L199" i="2"/>
  <c r="K201" i="2" l="1"/>
  <c r="L200" i="2"/>
  <c r="M200" i="2"/>
  <c r="K202" i="2" l="1"/>
  <c r="M201" i="2"/>
  <c r="L201" i="2"/>
  <c r="K203" i="2" l="1"/>
  <c r="M202" i="2"/>
  <c r="L202" i="2"/>
  <c r="K204" i="2" l="1"/>
  <c r="M203" i="2"/>
  <c r="L203" i="2"/>
  <c r="K205" i="2" l="1"/>
  <c r="M204" i="2"/>
  <c r="L204" i="2"/>
  <c r="K206" i="2" l="1"/>
  <c r="L205" i="2"/>
  <c r="M205" i="2"/>
  <c r="K207" i="2" l="1"/>
  <c r="L206" i="2"/>
  <c r="M206" i="2"/>
  <c r="K208" i="2" l="1"/>
  <c r="M207" i="2"/>
  <c r="L207" i="2"/>
  <c r="K209" i="2" l="1"/>
  <c r="L208" i="2"/>
  <c r="M208" i="2"/>
  <c r="K210" i="2" l="1"/>
  <c r="L209" i="2"/>
  <c r="M209" i="2"/>
  <c r="K211" i="2" l="1"/>
  <c r="M210" i="2"/>
  <c r="L210" i="2"/>
  <c r="K212" i="2" l="1"/>
  <c r="M211" i="2"/>
  <c r="L211" i="2"/>
  <c r="K213" i="2" l="1"/>
  <c r="M212" i="2"/>
  <c r="L212" i="2"/>
  <c r="K214" i="2" l="1"/>
  <c r="L213" i="2"/>
  <c r="M213" i="2"/>
  <c r="K215" i="2" l="1"/>
  <c r="M214" i="2"/>
  <c r="L214" i="2"/>
  <c r="K216" i="2" l="1"/>
  <c r="M215" i="2"/>
  <c r="L215" i="2"/>
  <c r="K217" i="2" l="1"/>
  <c r="L216" i="2"/>
  <c r="M216" i="2"/>
  <c r="K218" i="2" l="1"/>
  <c r="M217" i="2"/>
  <c r="L217" i="2"/>
  <c r="K219" i="2" l="1"/>
  <c r="M218" i="2"/>
  <c r="L218" i="2"/>
  <c r="K220" i="2" l="1"/>
  <c r="L219" i="2"/>
  <c r="M219" i="2"/>
  <c r="K221" i="2" l="1"/>
  <c r="L220" i="2"/>
  <c r="M220" i="2"/>
  <c r="K222" i="2" l="1"/>
  <c r="L221" i="2"/>
  <c r="M221" i="2"/>
  <c r="K223" i="2" l="1"/>
  <c r="M222" i="2"/>
  <c r="L222" i="2"/>
  <c r="K224" i="2" l="1"/>
  <c r="L223" i="2"/>
  <c r="M223" i="2"/>
  <c r="K225" i="2" l="1"/>
  <c r="L224" i="2"/>
  <c r="M224" i="2"/>
  <c r="K226" i="2" l="1"/>
  <c r="M225" i="2"/>
  <c r="L225" i="2"/>
  <c r="K227" i="2" l="1"/>
  <c r="M226" i="2"/>
  <c r="L226" i="2"/>
  <c r="K228" i="2" l="1"/>
  <c r="M227" i="2"/>
  <c r="L227" i="2"/>
  <c r="K229" i="2" l="1"/>
  <c r="L228" i="2"/>
  <c r="M228" i="2"/>
  <c r="K230" i="2" l="1"/>
  <c r="M229" i="2"/>
  <c r="L229" i="2"/>
  <c r="K231" i="2" l="1"/>
  <c r="M230" i="2"/>
  <c r="L230" i="2"/>
  <c r="K232" i="2" l="1"/>
  <c r="L231" i="2"/>
  <c r="M231" i="2"/>
  <c r="K233" i="2" l="1"/>
  <c r="L232" i="2"/>
  <c r="M232" i="2"/>
  <c r="K234" i="2" l="1"/>
  <c r="M233" i="2"/>
  <c r="L233" i="2"/>
  <c r="K235" i="2" l="1"/>
  <c r="M234" i="2"/>
  <c r="L234" i="2"/>
  <c r="K236" i="2" l="1"/>
  <c r="M235" i="2"/>
  <c r="L235" i="2"/>
  <c r="K237" i="2" l="1"/>
  <c r="L236" i="2"/>
  <c r="M236" i="2"/>
  <c r="K238" i="2" l="1"/>
  <c r="M237" i="2"/>
  <c r="L237" i="2"/>
  <c r="K239" i="2" l="1"/>
  <c r="M238" i="2"/>
  <c r="L238" i="2"/>
  <c r="K240" i="2" l="1"/>
  <c r="L239" i="2"/>
  <c r="M239" i="2"/>
  <c r="K241" i="2" l="1"/>
  <c r="M240" i="2"/>
  <c r="L240" i="2"/>
  <c r="K242" i="2" l="1"/>
  <c r="M241" i="2"/>
  <c r="L241" i="2"/>
  <c r="K243" i="2" l="1"/>
  <c r="M242" i="2"/>
  <c r="L242" i="2"/>
  <c r="K244" i="2" l="1"/>
  <c r="L243" i="2"/>
  <c r="M243" i="2"/>
  <c r="K245" i="2" l="1"/>
  <c r="M244" i="2"/>
  <c r="L244" i="2"/>
  <c r="K246" i="2" l="1"/>
  <c r="M245" i="2"/>
  <c r="L245" i="2"/>
  <c r="K247" i="2" l="1"/>
  <c r="M246" i="2"/>
  <c r="L246" i="2"/>
  <c r="K248" i="2" l="1"/>
  <c r="L247" i="2"/>
  <c r="M247" i="2"/>
  <c r="K249" i="2" l="1"/>
  <c r="M248" i="2"/>
  <c r="L248" i="2"/>
  <c r="K250" i="2" l="1"/>
  <c r="M249" i="2"/>
  <c r="L249" i="2"/>
  <c r="K251" i="2" l="1"/>
  <c r="L250" i="2"/>
  <c r="M250" i="2"/>
  <c r="K252" i="2" l="1"/>
  <c r="M251" i="2"/>
  <c r="L251" i="2"/>
  <c r="K253" i="2" l="1"/>
  <c r="M252" i="2"/>
  <c r="L252" i="2"/>
  <c r="K254" i="2" l="1"/>
  <c r="L253" i="2"/>
  <c r="M253" i="2"/>
  <c r="K255" i="2" l="1"/>
  <c r="L254" i="2"/>
  <c r="M254" i="2"/>
  <c r="K256" i="2" l="1"/>
  <c r="L255" i="2"/>
  <c r="M255" i="2"/>
  <c r="K257" i="2" l="1"/>
  <c r="L256" i="2"/>
  <c r="M256" i="2"/>
  <c r="K258" i="2" l="1"/>
  <c r="L257" i="2"/>
  <c r="M257" i="2"/>
  <c r="K259" i="2" l="1"/>
  <c r="M258" i="2"/>
  <c r="L258" i="2"/>
  <c r="K260" i="2" l="1"/>
  <c r="M259" i="2"/>
  <c r="L259" i="2"/>
  <c r="K261" i="2" l="1"/>
  <c r="M260" i="2"/>
  <c r="L260" i="2"/>
  <c r="K262" i="2" l="1"/>
  <c r="L261" i="2"/>
  <c r="M261" i="2"/>
  <c r="K263" i="2" l="1"/>
  <c r="L262" i="2"/>
  <c r="M262" i="2"/>
  <c r="K264" i="2" l="1"/>
  <c r="M263" i="2"/>
  <c r="L263" i="2"/>
  <c r="K265" i="2" l="1"/>
  <c r="M264" i="2"/>
  <c r="L264" i="2"/>
  <c r="K266" i="2" l="1"/>
  <c r="L265" i="2"/>
  <c r="M265" i="2"/>
  <c r="K267" i="2" l="1"/>
  <c r="M266" i="2"/>
  <c r="L266" i="2"/>
  <c r="K268" i="2" l="1"/>
  <c r="M267" i="2"/>
  <c r="L267" i="2"/>
  <c r="K269" i="2" l="1"/>
  <c r="M268" i="2"/>
  <c r="L268" i="2"/>
  <c r="K270" i="2" l="1"/>
  <c r="L269" i="2"/>
  <c r="M269" i="2"/>
  <c r="K271" i="2" l="1"/>
  <c r="M270" i="2"/>
  <c r="L270" i="2"/>
  <c r="K272" i="2" l="1"/>
  <c r="M271" i="2"/>
  <c r="L271" i="2"/>
  <c r="K273" i="2" l="1"/>
  <c r="M272" i="2"/>
  <c r="L272" i="2"/>
  <c r="K274" i="2" l="1"/>
  <c r="L273" i="2"/>
  <c r="M273" i="2"/>
  <c r="K275" i="2" l="1"/>
  <c r="M274" i="2"/>
  <c r="L274" i="2"/>
  <c r="K276" i="2" l="1"/>
  <c r="L275" i="2"/>
  <c r="M275" i="2"/>
  <c r="K277" i="2" l="1"/>
  <c r="M276" i="2"/>
  <c r="L276" i="2"/>
  <c r="K278" i="2" l="1"/>
  <c r="L277" i="2"/>
  <c r="M277" i="2"/>
  <c r="K279" i="2" l="1"/>
  <c r="M278" i="2"/>
  <c r="L278" i="2"/>
  <c r="K280" i="2" l="1"/>
  <c r="M279" i="2"/>
  <c r="L279" i="2"/>
  <c r="K281" i="2" l="1"/>
  <c r="M280" i="2"/>
  <c r="L280" i="2"/>
  <c r="K282" i="2" l="1"/>
  <c r="M281" i="2"/>
  <c r="L281" i="2"/>
  <c r="K283" i="2" l="1"/>
  <c r="M282" i="2"/>
  <c r="L282" i="2"/>
  <c r="K284" i="2" l="1"/>
  <c r="L283" i="2"/>
  <c r="M283" i="2"/>
  <c r="K285" i="2" l="1"/>
  <c r="L284" i="2"/>
  <c r="M284" i="2"/>
  <c r="K286" i="2" l="1"/>
  <c r="L285" i="2"/>
  <c r="M285" i="2"/>
  <c r="K287" i="2" l="1"/>
  <c r="M286" i="2"/>
  <c r="L286" i="2"/>
  <c r="K288" i="2" l="1"/>
  <c r="L287" i="2"/>
  <c r="M287" i="2"/>
  <c r="K289" i="2" l="1"/>
  <c r="M288" i="2"/>
  <c r="L288" i="2"/>
  <c r="K290" i="2" l="1"/>
  <c r="L289" i="2"/>
  <c r="M289" i="2"/>
  <c r="K291" i="2" l="1"/>
  <c r="M290" i="2"/>
  <c r="L290" i="2"/>
  <c r="K292" i="2" l="1"/>
  <c r="M291" i="2"/>
  <c r="L291" i="2"/>
  <c r="K293" i="2" l="1"/>
  <c r="L292" i="2"/>
  <c r="M292" i="2"/>
  <c r="K294" i="2" l="1"/>
  <c r="M293" i="2"/>
  <c r="L293" i="2"/>
  <c r="K295" i="2" l="1"/>
  <c r="L294" i="2"/>
  <c r="M294" i="2"/>
  <c r="K296" i="2" l="1"/>
  <c r="M295" i="2"/>
  <c r="L295" i="2"/>
  <c r="K297" i="2" l="1"/>
  <c r="L296" i="2"/>
  <c r="M296" i="2"/>
  <c r="K298" i="2" l="1"/>
  <c r="M297" i="2"/>
  <c r="L297" i="2"/>
  <c r="K299" i="2" l="1"/>
  <c r="M298" i="2"/>
  <c r="L298" i="2"/>
  <c r="K300" i="2" l="1"/>
  <c r="M299" i="2"/>
  <c r="L299" i="2"/>
  <c r="K301" i="2" l="1"/>
  <c r="M300" i="2"/>
  <c r="L300" i="2"/>
  <c r="K302" i="2" l="1"/>
  <c r="L301" i="2"/>
  <c r="M301" i="2"/>
  <c r="K303" i="2" l="1"/>
  <c r="M302" i="2"/>
  <c r="L302" i="2"/>
  <c r="K304" i="2" l="1"/>
  <c r="L303" i="2"/>
  <c r="M303" i="2"/>
  <c r="K305" i="2" l="1"/>
  <c r="M304" i="2"/>
  <c r="L304" i="2"/>
  <c r="K306" i="2" l="1"/>
  <c r="M305" i="2"/>
  <c r="L305" i="2"/>
  <c r="K307" i="2" l="1"/>
  <c r="M306" i="2"/>
  <c r="L306" i="2"/>
  <c r="K308" i="2" l="1"/>
  <c r="L307" i="2"/>
  <c r="M307" i="2"/>
  <c r="K309" i="2" l="1"/>
  <c r="M308" i="2"/>
  <c r="L308" i="2"/>
  <c r="K310" i="2" l="1"/>
  <c r="L309" i="2"/>
  <c r="M309" i="2"/>
  <c r="K311" i="2" l="1"/>
  <c r="M310" i="2"/>
  <c r="L310" i="2"/>
  <c r="K312" i="2" l="1"/>
  <c r="L311" i="2"/>
  <c r="M311" i="2"/>
  <c r="K313" i="2" l="1"/>
  <c r="L312" i="2"/>
  <c r="M312" i="2"/>
  <c r="K314" i="2" l="1"/>
  <c r="M313" i="2"/>
  <c r="L313" i="2"/>
  <c r="K315" i="2" l="1"/>
  <c r="L314" i="2"/>
  <c r="M314" i="2"/>
  <c r="K316" i="2" l="1"/>
  <c r="M315" i="2"/>
  <c r="L315" i="2"/>
  <c r="K317" i="2" l="1"/>
  <c r="M316" i="2"/>
  <c r="L316" i="2"/>
  <c r="K318" i="2" l="1"/>
  <c r="L317" i="2"/>
  <c r="M317" i="2"/>
  <c r="K319" i="2" l="1"/>
  <c r="L318" i="2"/>
  <c r="M318" i="2"/>
  <c r="K320" i="2" l="1"/>
  <c r="M319" i="2"/>
  <c r="L319" i="2"/>
  <c r="K321" i="2" l="1"/>
  <c r="M320" i="2"/>
  <c r="L320" i="2"/>
  <c r="K322" i="2" l="1"/>
  <c r="L321" i="2"/>
  <c r="M321" i="2"/>
  <c r="K323" i="2" l="1"/>
  <c r="L322" i="2"/>
  <c r="M322" i="2"/>
  <c r="K324" i="2" l="1"/>
  <c r="M323" i="2"/>
  <c r="L323" i="2"/>
  <c r="K325" i="2" l="1"/>
  <c r="M324" i="2"/>
  <c r="L324" i="2"/>
  <c r="K326" i="2" l="1"/>
  <c r="L325" i="2"/>
  <c r="M325" i="2"/>
  <c r="K327" i="2" l="1"/>
  <c r="L326" i="2"/>
  <c r="M326" i="2"/>
  <c r="K328" i="2" l="1"/>
  <c r="M327" i="2"/>
  <c r="L327" i="2"/>
  <c r="K329" i="2" l="1"/>
  <c r="L328" i="2"/>
  <c r="M328" i="2"/>
  <c r="K330" i="2" l="1"/>
  <c r="M329" i="2"/>
  <c r="L329" i="2"/>
  <c r="K331" i="2" l="1"/>
  <c r="L330" i="2"/>
  <c r="M330" i="2"/>
  <c r="K332" i="2" l="1"/>
  <c r="M331" i="2"/>
  <c r="L331" i="2"/>
  <c r="K333" i="2" l="1"/>
  <c r="M332" i="2"/>
  <c r="L332" i="2"/>
  <c r="K334" i="2" l="1"/>
  <c r="L333" i="2"/>
  <c r="M333" i="2"/>
  <c r="K335" i="2" l="1"/>
  <c r="L334" i="2"/>
  <c r="M334" i="2"/>
  <c r="K336" i="2" l="1"/>
  <c r="M335" i="2"/>
  <c r="L335" i="2"/>
  <c r="K337" i="2" l="1"/>
  <c r="M336" i="2"/>
  <c r="L336" i="2"/>
  <c r="K338" i="2" l="1"/>
  <c r="L337" i="2"/>
  <c r="M337" i="2"/>
  <c r="K339" i="2" l="1"/>
  <c r="M338" i="2"/>
  <c r="L338" i="2"/>
  <c r="K340" i="2" l="1"/>
  <c r="L339" i="2"/>
  <c r="M339" i="2"/>
  <c r="K341" i="2" l="1"/>
  <c r="M340" i="2"/>
  <c r="L340" i="2"/>
  <c r="K342" i="2" l="1"/>
  <c r="L341" i="2"/>
  <c r="M341" i="2"/>
  <c r="K343" i="2" l="1"/>
  <c r="M342" i="2"/>
  <c r="L342" i="2"/>
  <c r="K344" i="2" l="1"/>
  <c r="M343" i="2"/>
  <c r="L343" i="2"/>
  <c r="K345" i="2" l="1"/>
  <c r="L344" i="2"/>
  <c r="M344" i="2"/>
  <c r="K346" i="2" l="1"/>
  <c r="L345" i="2"/>
  <c r="M345" i="2"/>
  <c r="K347" i="2" l="1"/>
  <c r="M346" i="2"/>
  <c r="L346" i="2"/>
  <c r="K348" i="2" l="1"/>
  <c r="L347" i="2"/>
  <c r="M347" i="2"/>
  <c r="K349" i="2" l="1"/>
  <c r="L348" i="2"/>
  <c r="M348" i="2"/>
  <c r="K350" i="2" l="1"/>
  <c r="L349" i="2"/>
  <c r="M349" i="2"/>
  <c r="K351" i="2" l="1"/>
  <c r="L350" i="2"/>
  <c r="M350" i="2"/>
  <c r="K352" i="2" l="1"/>
  <c r="L351" i="2"/>
  <c r="M351" i="2"/>
  <c r="K353" i="2" l="1"/>
  <c r="M352" i="2"/>
  <c r="L352" i="2"/>
  <c r="K354" i="2" l="1"/>
  <c r="L353" i="2"/>
  <c r="M353" i="2"/>
  <c r="K355" i="2" l="1"/>
  <c r="M354" i="2"/>
  <c r="L354" i="2"/>
  <c r="K356" i="2" l="1"/>
  <c r="M355" i="2"/>
  <c r="L355" i="2"/>
  <c r="K357" i="2" l="1"/>
  <c r="L356" i="2"/>
  <c r="M356" i="2"/>
  <c r="K358" i="2" l="1"/>
  <c r="M357" i="2"/>
  <c r="L357" i="2"/>
  <c r="K359" i="2" l="1"/>
  <c r="M358" i="2"/>
  <c r="L358" i="2"/>
  <c r="K360" i="2" l="1"/>
  <c r="L359" i="2"/>
  <c r="M359" i="2"/>
  <c r="K361" i="2" l="1"/>
  <c r="L360" i="2"/>
  <c r="M360" i="2"/>
  <c r="K362" i="2" l="1"/>
  <c r="M361" i="2"/>
  <c r="L361" i="2"/>
  <c r="K363" i="2" l="1"/>
  <c r="M362" i="2"/>
  <c r="L362" i="2"/>
  <c r="K364" i="2" l="1"/>
  <c r="M363" i="2"/>
  <c r="L363" i="2"/>
  <c r="K365" i="2" l="1"/>
  <c r="L364" i="2"/>
  <c r="M364" i="2"/>
  <c r="K366" i="2" l="1"/>
  <c r="L365" i="2"/>
  <c r="M365" i="2"/>
  <c r="L366" i="2" l="1"/>
  <c r="R5" i="2" s="1"/>
  <c r="M366" i="2"/>
  <c r="P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32A40E-DCA0-4627-9561-C3DF6E1DA6EA}" keepAlive="1" name="Zapytanie — fotowoltaika" description="Połączenie z zapytaniem „fotowoltaika” w skoroszycie." type="5" refreshedVersion="8" background="1" saveData="1">
    <dbPr connection="Provider=Microsoft.Mashup.OleDb.1;Data Source=$Workbook$;Location=fotowoltaika;Extended Properties=&quot;&quot;" command="SELECT * FROM [fotowoltaik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<sst xmlns="http://schemas.openxmlformats.org/spreadsheetml/2006/main" count="22" uniqueCount="21">
  <si>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data</t>
  </si>
  <si>
    <t>wsch</t>
  </si>
  <si>
    <t>zach</t>
  </si>
  <si>
    <t>st_zach</t>
  </si>
  <si>
    <t>produkcja</t>
  </si>
  <si>
    <t>oddanie</t>
  </si>
  <si>
    <t>pobranie</t>
  </si>
  <si>
    <t>6_1</t>
  </si>
  <si>
    <t>czy_st_nie_wzrastal</t>
  </si>
  <si>
    <t>Ilosc dni w ciagu</t>
  </si>
  <si>
    <t>6_2</t>
  </si>
  <si>
    <t>Czas nasłonecznienia</t>
  </si>
  <si>
    <t>Etykiety wierszy</t>
  </si>
  <si>
    <t>Suma końcowa</t>
  </si>
  <si>
    <t>Średnia z oddania</t>
  </si>
  <si>
    <t>Średnia z pobrania</t>
  </si>
  <si>
    <t>Średnia z produkcji</t>
  </si>
  <si>
    <t>Saldo</t>
  </si>
  <si>
    <t>Czy mniej niż 50</t>
  </si>
  <si>
    <t>6_4</t>
  </si>
  <si>
    <t>Czy mniej niż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</si>
</sst>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3">
    <dxf>
      <numFmt numFmtId="164" formatCode="[$-F400]h:mm:ss\ AM/PM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[zad_6.xlsx]fotowoltaika!Tabela przestawna1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173362945016495E-2"/>
          <c:y val="0.17233560090702948"/>
          <c:w val="0.68296049532270009"/>
          <c:h val="0.66335511252582791"/>
        </c:manualLayout>
      </c:layout>
      <c:lineChart>
        <c:grouping val="standard"/>
        <c:varyColors val="0"/>
        <c:ser>
          <c:idx val="0"/>
          <c:order val="0"/>
          <c:tx>
            <c:strRef>
              <c:f>fotowoltaika!$Q$10</c:f>
              <c:strCache>
                <c:ptCount val="1"/>
                <c:pt idx="0">
                  <c:v>Średnia z produkcji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fotowoltaika!$P$11:$P$21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fotowoltaika!$Q$11:$Q$21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8-49D3-A1BE-9E154D371EDB}"/>
            </c:ext>
          </c:extLst>
        </c:ser>
        <c:ser>
          <c:idx val="1"/>
          <c:order val="1"/>
          <c:tx>
            <c:strRef>
              <c:f>fotowoltaika!$R$10</c:f>
              <c:strCache>
                <c:ptCount val="1"/>
                <c:pt idx="0">
                  <c:v>Średnia z oddania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fotowoltaika!$P$11:$P$21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fotowoltaika!$R$11:$R$21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8-49D3-A1BE-9E154D371EDB}"/>
            </c:ext>
          </c:extLst>
        </c:ser>
        <c:ser>
          <c:idx val="2"/>
          <c:order val="2"/>
          <c:tx>
            <c:strRef>
              <c:f>fotowoltaika!$S$10</c:f>
              <c:strCache>
                <c:ptCount val="1"/>
                <c:pt idx="0">
                  <c:v>Średnia z pobrania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fotowoltaika!$P$11:$P$21</c:f>
              <c:strCach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strCache>
            </c:strRef>
          </c:cat>
          <c:val>
            <c:numRef>
              <c:f>fotowoltaika!$S$11:$S$21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8-49D3-A1BE-9E154D371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711232"/>
        <c:axId val="1982712192"/>
      </c:lineChart>
      <c:catAx>
        <c:axId val="198271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godzin nasłonecznienia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2712192"/>
        <c:crosses val="autoZero"/>
        <c:auto val="1"/>
        <c:lblAlgn val="ctr"/>
        <c:lblOffset val="100"/>
        <c:noMultiLvlLbl val="0"/>
      </c:catAx>
      <c:valAx>
        <c:axId val="19827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271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21</xdr:row>
      <xdr:rowOff>91440</xdr:rowOff>
    </xdr:from>
    <xdr:to>
      <xdr:col>20</xdr:col>
      <xdr:colOff>388620</xdr:colOff>
      <xdr:row>39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4F8B52-985D-54E8-785F-277DC83AF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0.03423</cdr:x>
      <cdr:y>0.02993</cdr:y>
    </cdr:from>
    <cdr:to>
      <cdr:x>0.99359</cdr:x>
      <cdr:y>0.13061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5F6FAB52-8932-EEBD-01D3-B00CEA93D96C}"/>
            </a:ext>
          </a:extLst>
        </cdr:cNvPr>
        <cdr:cNvSpPr txBox="1"/>
      </cdr:nvSpPr>
      <cdr:spPr>
        <a:xfrm xmlns:a="http://schemas.openxmlformats.org/drawingml/2006/main">
          <a:off x="203454" y="83820"/>
          <a:ext cx="5702046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 kern="1200"/>
            <a:t>Średnie ilości pobranej,</a:t>
          </a:r>
          <a:r>
            <a:rPr lang="pl-PL" sz="1100" kern="1200" baseline="0"/>
            <a:t> oddanej i wyprodukowanej energii dla liczby godzin nasłonecznienia</a:t>
          </a:r>
        </a:p>
        <a:p xmlns:a="http://schemas.openxmlformats.org/drawingml/2006/main">
          <a:endParaRPr lang="pl-PL" sz="1100" kern="1200" baseline="0"/>
        </a:p>
        <a:p xmlns:a="http://schemas.openxmlformats.org/drawingml/2006/main">
          <a:endParaRPr lang="pl-PL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tek Choroś" refreshedDate="46136.383706018518" createdVersion="8" refreshedVersion="8" minRefreshableVersion="3" recordCount="365" xr:uid="{032E4D85-74A9-415B-ABB8-CC53130E7578}">
  <cacheSource type="worksheet">
    <worksheetSource name="fotowoltaika"/>
  </cacheSource>
  <cacheFields count="12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11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czy_st_nie_wzrastal" numFmtId="0">
      <sharedItems containsSemiMixedTypes="0" containsString="0" containsNumber="1" containsInteger="1" minValue="0" maxValue="1"/>
    </cacheField>
    <cacheField name="Ilosc dni w ciagu" numFmtId="0">
      <sharedItems containsString="0" containsBlank="1" containsNumber="1" containsInteger="1" minValue="0" maxValue="14"/>
    </cacheField>
    <cacheField name="Czas nasłonecznienia" numFmtId="0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  <cacheField name="Dni (data)" numFmtId="0" databaseField="0">
      <fieldGroup base="0">
        <rangePr groupBy="days" startDate="2022-01-01T00:00:00" endDate="2023-01-01T00:00:00"/>
        <groupItems count="368">
          <s v="&lt;01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d v="1899-12-30T07:42:56"/>
    <d v="1899-12-30T15:36:07"/>
    <n v="0"/>
    <n v="7.78"/>
    <n v="3.29"/>
    <n v="4.5599999999999996"/>
    <n v="1"/>
    <m/>
    <x v="0"/>
  </r>
  <r>
    <x v="1"/>
    <d v="1899-12-30T07:42:47"/>
    <d v="1899-12-30T15:37:12"/>
    <n v="4"/>
    <n v="4.47"/>
    <n v="1.23"/>
    <n v="3.99"/>
    <n v="0"/>
    <n v="0"/>
    <x v="0"/>
  </r>
  <r>
    <x v="2"/>
    <d v="1899-12-30T07:42:35"/>
    <d v="1899-12-30T15:38:20"/>
    <n v="4"/>
    <n v="6.02"/>
    <n v="4.74"/>
    <n v="2.56"/>
    <n v="1"/>
    <n v="1"/>
    <x v="0"/>
  </r>
  <r>
    <x v="3"/>
    <d v="1899-12-30T07:42:19"/>
    <d v="1899-12-30T15:39:30"/>
    <n v="6"/>
    <n v="2.63"/>
    <n v="1.22"/>
    <n v="5.22"/>
    <n v="0"/>
    <n v="0"/>
    <x v="0"/>
  </r>
  <r>
    <x v="4"/>
    <d v="1899-12-30T07:42:00"/>
    <d v="1899-12-30T15:40:43"/>
    <n v="2"/>
    <n v="7.99"/>
    <n v="5.68"/>
    <n v="4.22"/>
    <n v="1"/>
    <n v="1"/>
    <x v="0"/>
  </r>
  <r>
    <x v="5"/>
    <d v="1899-12-30T07:41:38"/>
    <d v="1899-12-30T15:41:58"/>
    <n v="3"/>
    <n v="4.6500000000000004"/>
    <n v="3.24"/>
    <n v="2.57"/>
    <n v="0"/>
    <n v="0"/>
    <x v="1"/>
  </r>
  <r>
    <x v="6"/>
    <d v="1899-12-30T07:41:12"/>
    <d v="1899-12-30T15:43:16"/>
    <n v="1"/>
    <n v="7.91"/>
    <n v="2.34"/>
    <n v="2.2200000000000002"/>
    <n v="1"/>
    <n v="1"/>
    <x v="1"/>
  </r>
  <r>
    <x v="7"/>
    <d v="1899-12-30T07:40:43"/>
    <d v="1899-12-30T15:44:36"/>
    <n v="1"/>
    <n v="7.24"/>
    <n v="2.58"/>
    <n v="2.4700000000000002"/>
    <n v="1"/>
    <n v="2"/>
    <x v="1"/>
  </r>
  <r>
    <x v="8"/>
    <d v="1899-12-30T07:40:11"/>
    <d v="1899-12-30T15:45:59"/>
    <n v="1"/>
    <n v="7.96"/>
    <n v="2.74"/>
    <n v="1.95"/>
    <n v="1"/>
    <n v="3"/>
    <x v="1"/>
  </r>
  <r>
    <x v="9"/>
    <d v="1899-12-30T07:39:35"/>
    <d v="1899-12-30T15:47:23"/>
    <n v="3"/>
    <n v="2.37"/>
    <n v="0.96"/>
    <n v="2.3199999999999998"/>
    <n v="0"/>
    <n v="0"/>
    <x v="1"/>
  </r>
  <r>
    <x v="10"/>
    <d v="1899-12-30T07:38:56"/>
    <d v="1899-12-30T15:48:50"/>
    <n v="5"/>
    <n v="1.56"/>
    <n v="0.45"/>
    <n v="3.21"/>
    <n v="0"/>
    <n v="0"/>
    <x v="1"/>
  </r>
  <r>
    <x v="11"/>
    <d v="1899-12-30T07:38:14"/>
    <d v="1899-12-30T15:50:18"/>
    <n v="6"/>
    <n v="1.27"/>
    <n v="0.22"/>
    <n v="3.34"/>
    <n v="0"/>
    <n v="0"/>
    <x v="1"/>
  </r>
  <r>
    <x v="12"/>
    <d v="1899-12-30T07:37:29"/>
    <d v="1899-12-30T15:51:49"/>
    <n v="0"/>
    <n v="8.6300000000000008"/>
    <n v="3.47"/>
    <n v="2.2599999999999998"/>
    <n v="1"/>
    <n v="1"/>
    <x v="1"/>
  </r>
  <r>
    <x v="13"/>
    <d v="1899-12-30T07:36:41"/>
    <d v="1899-12-30T15:53:21"/>
    <n v="1"/>
    <n v="7.36"/>
    <n v="2.2200000000000002"/>
    <n v="2.56"/>
    <n v="0"/>
    <n v="0"/>
    <x v="1"/>
  </r>
  <r>
    <x v="14"/>
    <d v="1899-12-30T07:35:50"/>
    <d v="1899-12-30T15:54:55"/>
    <n v="5"/>
    <n v="2.11"/>
    <n v="0.45"/>
    <n v="2.21"/>
    <n v="0"/>
    <n v="0"/>
    <x v="1"/>
  </r>
  <r>
    <x v="15"/>
    <d v="1899-12-30T07:34:56"/>
    <d v="1899-12-30T15:56:31"/>
    <n v="3"/>
    <n v="5.31"/>
    <n v="3.45"/>
    <n v="1.22"/>
    <n v="1"/>
    <n v="1"/>
    <x v="1"/>
  </r>
  <r>
    <x v="16"/>
    <d v="1899-12-30T07:33:59"/>
    <d v="1899-12-30T15:58:08"/>
    <n v="2"/>
    <n v="5.93"/>
    <n v="1.25"/>
    <n v="3.34"/>
    <n v="1"/>
    <n v="2"/>
    <x v="1"/>
  </r>
  <r>
    <x v="17"/>
    <d v="1899-12-30T07:32:59"/>
    <d v="1899-12-30T15:59:46"/>
    <n v="6"/>
    <n v="2.19"/>
    <n v="0.21"/>
    <n v="3.22"/>
    <n v="0"/>
    <n v="0"/>
    <x v="1"/>
  </r>
  <r>
    <x v="18"/>
    <d v="1899-12-30T07:31:56"/>
    <d v="1899-12-30T16:01:26"/>
    <n v="4"/>
    <n v="3.53"/>
    <n v="0.34"/>
    <n v="1.25"/>
    <n v="1"/>
    <n v="1"/>
    <x v="1"/>
  </r>
  <r>
    <x v="19"/>
    <d v="1899-12-30T07:30:51"/>
    <d v="1899-12-30T16:03:07"/>
    <n v="3"/>
    <n v="4.33"/>
    <n v="0.99"/>
    <n v="0.21"/>
    <n v="1"/>
    <n v="2"/>
    <x v="1"/>
  </r>
  <r>
    <x v="20"/>
    <d v="1899-12-30T07:29:43"/>
    <d v="1899-12-30T16:04:50"/>
    <n v="6"/>
    <n v="2.33"/>
    <n v="0.02"/>
    <n v="2.61"/>
    <n v="0"/>
    <n v="0"/>
    <x v="1"/>
  </r>
  <r>
    <x v="21"/>
    <d v="1899-12-30T07:28:32"/>
    <d v="1899-12-30T16:06:33"/>
    <n v="6"/>
    <n v="3.21"/>
    <n v="0.78"/>
    <n v="2.2200000000000002"/>
    <n v="1"/>
    <n v="1"/>
    <x v="1"/>
  </r>
  <r>
    <x v="22"/>
    <d v="1899-12-30T07:27:19"/>
    <d v="1899-12-30T16:08:18"/>
    <n v="5"/>
    <n v="4.0199999999999996"/>
    <n v="2.0099999999999998"/>
    <n v="1.01"/>
    <n v="1"/>
    <n v="2"/>
    <x v="1"/>
  </r>
  <r>
    <x v="23"/>
    <d v="1899-12-30T07:26:03"/>
    <d v="1899-12-30T16:10:03"/>
    <n v="4"/>
    <n v="4.45"/>
    <n v="2.34"/>
    <n v="1.95"/>
    <n v="1"/>
    <n v="3"/>
    <x v="1"/>
  </r>
  <r>
    <x v="24"/>
    <d v="1899-12-30T07:24:44"/>
    <d v="1899-12-30T16:11:49"/>
    <n v="3"/>
    <n v="5.52"/>
    <n v="2.21"/>
    <n v="1.21"/>
    <n v="1"/>
    <n v="4"/>
    <x v="1"/>
  </r>
  <r>
    <x v="25"/>
    <d v="1899-12-30T07:23:24"/>
    <d v="1899-12-30T16:13:37"/>
    <n v="2"/>
    <n v="5.1100000000000003"/>
    <n v="2.02"/>
    <n v="1.35"/>
    <n v="1"/>
    <n v="5"/>
    <x v="1"/>
  </r>
  <r>
    <x v="26"/>
    <d v="1899-12-30T07:22:01"/>
    <d v="1899-12-30T16:15:25"/>
    <n v="1"/>
    <n v="4.97"/>
    <n v="1.92"/>
    <n v="2.0099999999999998"/>
    <n v="1"/>
    <n v="6"/>
    <x v="1"/>
  </r>
  <r>
    <x v="27"/>
    <d v="1899-12-30T07:20:35"/>
    <d v="1899-12-30T16:17:13"/>
    <n v="1"/>
    <n v="5.67"/>
    <n v="3.21"/>
    <n v="1.01"/>
    <n v="1"/>
    <n v="7"/>
    <x v="1"/>
  </r>
  <r>
    <x v="28"/>
    <d v="1899-12-30T07:19:07"/>
    <d v="1899-12-30T16:19:02"/>
    <n v="1"/>
    <n v="5.76"/>
    <n v="3.33"/>
    <n v="2.0099999999999998"/>
    <n v="1"/>
    <n v="8"/>
    <x v="1"/>
  </r>
  <r>
    <x v="29"/>
    <d v="1899-12-30T07:17:38"/>
    <d v="1899-12-30T16:20:52"/>
    <n v="2"/>
    <n v="5.97"/>
    <n v="3.48"/>
    <n v="1.93"/>
    <n v="0"/>
    <n v="0"/>
    <x v="2"/>
  </r>
  <r>
    <x v="30"/>
    <d v="1899-12-30T07:16:06"/>
    <d v="1899-12-30T16:22:42"/>
    <n v="1"/>
    <n v="6.01"/>
    <n v="2.34"/>
    <n v="0.94"/>
    <n v="1"/>
    <n v="1"/>
    <x v="2"/>
  </r>
  <r>
    <x v="31"/>
    <d v="1899-12-30T07:14:32"/>
    <d v="1899-12-30T16:24:33"/>
    <n v="1"/>
    <n v="6.18"/>
    <n v="1.34"/>
    <n v="1.28"/>
    <n v="1"/>
    <n v="2"/>
    <x v="2"/>
  </r>
  <r>
    <x v="32"/>
    <d v="1899-12-30T07:12:56"/>
    <d v="1899-12-30T16:26:24"/>
    <n v="1"/>
    <n v="7.25"/>
    <n v="1.57"/>
    <n v="1.01"/>
    <n v="1"/>
    <n v="3"/>
    <x v="2"/>
  </r>
  <r>
    <x v="33"/>
    <d v="1899-12-30T07:11:18"/>
    <d v="1899-12-30T16:28:16"/>
    <n v="4"/>
    <n v="3.63"/>
    <n v="1.21"/>
    <n v="2.25"/>
    <n v="0"/>
    <n v="0"/>
    <x v="2"/>
  </r>
  <r>
    <x v="34"/>
    <d v="1899-12-30T07:09:38"/>
    <d v="1899-12-30T16:30:07"/>
    <n v="1"/>
    <n v="7.8"/>
    <n v="3.34"/>
    <n v="2.94"/>
    <n v="1"/>
    <n v="1"/>
    <x v="2"/>
  </r>
  <r>
    <x v="35"/>
    <d v="1899-12-30T07:07:56"/>
    <d v="1899-12-30T16:31:59"/>
    <n v="2"/>
    <n v="5.0199999999999996"/>
    <n v="2.13"/>
    <n v="3.1"/>
    <n v="0"/>
    <n v="0"/>
    <x v="2"/>
  </r>
  <r>
    <x v="36"/>
    <d v="1899-12-30T07:06:12"/>
    <d v="1899-12-30T16:33:51"/>
    <n v="1"/>
    <n v="6.87"/>
    <n v="2.89"/>
    <n v="3.34"/>
    <n v="1"/>
    <n v="1"/>
    <x v="2"/>
  </r>
  <r>
    <x v="37"/>
    <d v="1899-12-30T07:04:27"/>
    <d v="1899-12-30T16:35:44"/>
    <n v="1"/>
    <n v="7.59"/>
    <n v="2.56"/>
    <n v="2.78"/>
    <n v="1"/>
    <n v="2"/>
    <x v="2"/>
  </r>
  <r>
    <x v="38"/>
    <d v="1899-12-30T07:02:40"/>
    <d v="1899-12-30T16:37:36"/>
    <n v="1"/>
    <n v="7.84"/>
    <n v="2.63"/>
    <n v="2.19"/>
    <n v="1"/>
    <n v="3"/>
    <x v="2"/>
  </r>
  <r>
    <x v="39"/>
    <d v="1899-12-30T07:00:52"/>
    <d v="1899-12-30T16:39:29"/>
    <n v="6"/>
    <n v="2.93"/>
    <n v="1.1299999999999999"/>
    <n v="3.1"/>
    <n v="0"/>
    <n v="0"/>
    <x v="2"/>
  </r>
  <r>
    <x v="40"/>
    <d v="1899-12-30T06:59:01"/>
    <d v="1899-12-30T16:41:21"/>
    <n v="7"/>
    <n v="1.24"/>
    <n v="0.3"/>
    <n v="2.14"/>
    <n v="0"/>
    <n v="0"/>
    <x v="2"/>
  </r>
  <r>
    <x v="41"/>
    <d v="1899-12-30T06:57:10"/>
    <d v="1899-12-30T16:43:14"/>
    <n v="8"/>
    <n v="0.26"/>
    <n v="0"/>
    <n v="4.8600000000000003"/>
    <n v="0"/>
    <n v="0"/>
    <x v="2"/>
  </r>
  <r>
    <x v="42"/>
    <d v="1899-12-30T06:55:16"/>
    <d v="1899-12-30T16:45:06"/>
    <n v="2"/>
    <n v="5.79"/>
    <n v="1.7"/>
    <n v="0.8"/>
    <n v="1"/>
    <n v="1"/>
    <x v="2"/>
  </r>
  <r>
    <x v="43"/>
    <d v="1899-12-30T06:53:22"/>
    <d v="1899-12-30T16:46:58"/>
    <n v="3"/>
    <n v="5.26"/>
    <n v="1.42"/>
    <n v="2.34"/>
    <n v="0"/>
    <n v="0"/>
    <x v="2"/>
  </r>
  <r>
    <x v="44"/>
    <d v="1899-12-30T06:51:25"/>
    <d v="1899-12-30T16:48:51"/>
    <n v="2"/>
    <n v="5.62"/>
    <n v="2.41"/>
    <n v="2.59"/>
    <n v="1"/>
    <n v="1"/>
    <x v="2"/>
  </r>
  <r>
    <x v="45"/>
    <d v="1899-12-30T06:49:28"/>
    <d v="1899-12-30T16:50:43"/>
    <n v="4"/>
    <n v="3.58"/>
    <n v="1.63"/>
    <n v="3.21"/>
    <n v="0"/>
    <n v="0"/>
    <x v="3"/>
  </r>
  <r>
    <x v="46"/>
    <d v="1899-12-30T06:47:29"/>
    <d v="1899-12-30T16:52:35"/>
    <n v="7"/>
    <n v="1.1599999999999999"/>
    <n v="0.25"/>
    <n v="2.1"/>
    <n v="0"/>
    <n v="0"/>
    <x v="3"/>
  </r>
  <r>
    <x v="47"/>
    <d v="1899-12-30T06:45:29"/>
    <d v="1899-12-30T16:54:27"/>
    <n v="1"/>
    <n v="8.59"/>
    <n v="3.68"/>
    <n v="2.36"/>
    <n v="1"/>
    <n v="1"/>
    <x v="3"/>
  </r>
  <r>
    <x v="48"/>
    <d v="1899-12-30T06:43:28"/>
    <d v="1899-12-30T16:56:18"/>
    <n v="3"/>
    <n v="4.24"/>
    <n v="1.27"/>
    <n v="3.09"/>
    <n v="0"/>
    <n v="0"/>
    <x v="3"/>
  </r>
  <r>
    <x v="49"/>
    <d v="1899-12-30T06:41:26"/>
    <d v="1899-12-30T16:58:10"/>
    <n v="6"/>
    <n v="2.1800000000000002"/>
    <n v="0.9"/>
    <n v="3.17"/>
    <n v="0"/>
    <n v="0"/>
    <x v="3"/>
  </r>
  <r>
    <x v="50"/>
    <d v="1899-12-30T06:39:22"/>
    <d v="1899-12-30T17:00:01"/>
    <n v="0"/>
    <n v="9.14"/>
    <n v="2.74"/>
    <n v="1.96"/>
    <n v="1"/>
    <n v="1"/>
    <x v="3"/>
  </r>
  <r>
    <x v="51"/>
    <d v="1899-12-30T06:37:18"/>
    <d v="1899-12-30T17:01:52"/>
    <n v="0"/>
    <n v="9.85"/>
    <n v="3.02"/>
    <n v="2.46"/>
    <n v="1"/>
    <n v="2"/>
    <x v="3"/>
  </r>
  <r>
    <x v="52"/>
    <d v="1899-12-30T06:35:12"/>
    <d v="1899-12-30T17:03:43"/>
    <n v="1"/>
    <n v="9.2899999999999991"/>
    <n v="2.79"/>
    <n v="1.49"/>
    <n v="0"/>
    <n v="0"/>
    <x v="3"/>
  </r>
  <r>
    <x v="53"/>
    <d v="1899-12-30T06:33:05"/>
    <d v="1899-12-30T17:05:34"/>
    <n v="4"/>
    <n v="2.57"/>
    <n v="0.76"/>
    <n v="4.03"/>
    <n v="0"/>
    <n v="0"/>
    <x v="3"/>
  </r>
  <r>
    <x v="54"/>
    <d v="1899-12-30T06:30:58"/>
    <d v="1899-12-30T17:07:24"/>
    <n v="0"/>
    <n v="9.64"/>
    <n v="3.82"/>
    <n v="2.36"/>
    <n v="1"/>
    <n v="1"/>
    <x v="3"/>
  </r>
  <r>
    <x v="55"/>
    <d v="1899-12-30T06:28:49"/>
    <d v="1899-12-30T17:09:14"/>
    <n v="0"/>
    <n v="9.35"/>
    <n v="3.73"/>
    <n v="2.1800000000000002"/>
    <n v="1"/>
    <n v="2"/>
    <x v="3"/>
  </r>
  <r>
    <x v="56"/>
    <d v="1899-12-30T06:26:40"/>
    <d v="1899-12-30T17:11:04"/>
    <n v="0"/>
    <n v="8.76"/>
    <n v="3.92"/>
    <n v="2.4"/>
    <n v="1"/>
    <n v="3"/>
    <x v="3"/>
  </r>
  <r>
    <x v="57"/>
    <d v="1899-12-30T06:24:29"/>
    <d v="1899-12-30T17:12:53"/>
    <n v="0"/>
    <n v="9.77"/>
    <n v="3.26"/>
    <n v="1.3"/>
    <n v="1"/>
    <n v="4"/>
    <x v="3"/>
  </r>
  <r>
    <x v="58"/>
    <d v="1899-12-30T06:22:18"/>
    <d v="1899-12-30T17:14:43"/>
    <n v="5"/>
    <n v="2.93"/>
    <n v="1.03"/>
    <n v="2.99"/>
    <n v="0"/>
    <n v="0"/>
    <x v="3"/>
  </r>
  <r>
    <x v="59"/>
    <d v="1899-12-30T06:20:07"/>
    <d v="1899-12-30T17:16:32"/>
    <n v="2"/>
    <n v="4.66"/>
    <n v="1.37"/>
    <n v="2.0499999999999998"/>
    <n v="1"/>
    <n v="1"/>
    <x v="3"/>
  </r>
  <r>
    <x v="60"/>
    <d v="1899-12-30T06:17:54"/>
    <d v="1899-12-30T17:18:20"/>
    <n v="6"/>
    <n v="2.99"/>
    <n v="0.74"/>
    <n v="1.48"/>
    <n v="0"/>
    <n v="0"/>
    <x v="4"/>
  </r>
  <r>
    <x v="61"/>
    <d v="1899-12-30T06:15:41"/>
    <d v="1899-12-30T17:20:09"/>
    <n v="7"/>
    <n v="1.1399999999999999"/>
    <n v="0.22"/>
    <n v="3.27"/>
    <n v="0"/>
    <n v="0"/>
    <x v="4"/>
  </r>
  <r>
    <x v="62"/>
    <d v="1899-12-30T06:13:27"/>
    <d v="1899-12-30T17:21:57"/>
    <n v="0"/>
    <n v="9.7100000000000009"/>
    <n v="3.95"/>
    <n v="1.96"/>
    <n v="1"/>
    <n v="1"/>
    <x v="4"/>
  </r>
  <r>
    <x v="63"/>
    <d v="1899-12-30T06:11:12"/>
    <d v="1899-12-30T17:23:45"/>
    <n v="0"/>
    <n v="9.92"/>
    <n v="3.01"/>
    <n v="1.52"/>
    <n v="1"/>
    <n v="2"/>
    <x v="4"/>
  </r>
  <r>
    <x v="64"/>
    <d v="1899-12-30T06:08:57"/>
    <d v="1899-12-30T17:25:33"/>
    <n v="1"/>
    <n v="9.66"/>
    <n v="2.79"/>
    <n v="1.24"/>
    <n v="0"/>
    <n v="0"/>
    <x v="4"/>
  </r>
  <r>
    <x v="65"/>
    <d v="1899-12-30T06:06:41"/>
    <d v="1899-12-30T17:27:20"/>
    <n v="4"/>
    <n v="3.6"/>
    <n v="1.68"/>
    <n v="2.75"/>
    <n v="0"/>
    <n v="0"/>
    <x v="4"/>
  </r>
  <r>
    <x v="66"/>
    <d v="1899-12-30T06:04:25"/>
    <d v="1899-12-30T17:29:07"/>
    <n v="2"/>
    <n v="4.9000000000000004"/>
    <n v="2.5299999999999998"/>
    <n v="2.46"/>
    <n v="1"/>
    <n v="1"/>
    <x v="4"/>
  </r>
  <r>
    <x v="67"/>
    <d v="1899-12-30T06:02:08"/>
    <d v="1899-12-30T17:30:54"/>
    <n v="3"/>
    <n v="3.29"/>
    <n v="0.73"/>
    <n v="2.4300000000000002"/>
    <n v="0"/>
    <n v="0"/>
    <x v="4"/>
  </r>
  <r>
    <x v="68"/>
    <d v="1899-12-30T05:59:51"/>
    <d v="1899-12-30T17:32:41"/>
    <n v="1"/>
    <n v="7.92"/>
    <n v="1.58"/>
    <n v="1.63"/>
    <n v="1"/>
    <n v="1"/>
    <x v="4"/>
  </r>
  <r>
    <x v="69"/>
    <d v="1899-12-30T05:57:34"/>
    <d v="1899-12-30T17:34:27"/>
    <n v="4"/>
    <n v="2.99"/>
    <n v="1.05"/>
    <n v="2.89"/>
    <n v="0"/>
    <n v="0"/>
    <x v="4"/>
  </r>
  <r>
    <x v="70"/>
    <d v="1899-12-30T05:55:15"/>
    <d v="1899-12-30T17:36:13"/>
    <n v="0"/>
    <n v="11.09"/>
    <n v="3.46"/>
    <n v="1.28"/>
    <n v="1"/>
    <n v="1"/>
    <x v="4"/>
  </r>
  <r>
    <x v="71"/>
    <d v="1899-12-30T05:52:57"/>
    <d v="1899-12-30T17:37:59"/>
    <n v="0"/>
    <n v="12.5"/>
    <n v="3.14"/>
    <n v="1.24"/>
    <n v="1"/>
    <n v="2"/>
    <x v="4"/>
  </r>
  <r>
    <x v="72"/>
    <d v="1899-12-30T05:50:38"/>
    <d v="1899-12-30T17:39:45"/>
    <n v="2"/>
    <n v="5.32"/>
    <n v="2.64"/>
    <n v="3.06"/>
    <n v="0"/>
    <n v="0"/>
    <x v="4"/>
  </r>
  <r>
    <x v="73"/>
    <d v="1899-12-30T05:48:19"/>
    <d v="1899-12-30T17:41:31"/>
    <n v="6"/>
    <n v="3.14"/>
    <n v="1.73"/>
    <n v="3.82"/>
    <n v="0"/>
    <n v="0"/>
    <x v="4"/>
  </r>
  <r>
    <x v="74"/>
    <d v="1899-12-30T05:46:00"/>
    <d v="1899-12-30T17:43:16"/>
    <n v="0"/>
    <n v="12.41"/>
    <n v="3.85"/>
    <n v="0.67"/>
    <n v="1"/>
    <n v="1"/>
    <x v="4"/>
  </r>
  <r>
    <x v="75"/>
    <d v="1899-12-30T05:43:41"/>
    <d v="1899-12-30T17:45:01"/>
    <n v="4"/>
    <n v="3.11"/>
    <n v="2.14"/>
    <n v="4.2"/>
    <n v="0"/>
    <n v="0"/>
    <x v="5"/>
  </r>
  <r>
    <x v="76"/>
    <d v="1899-12-30T05:41:21"/>
    <d v="1899-12-30T17:46:46"/>
    <n v="0"/>
    <n v="11.14"/>
    <n v="3.57"/>
    <n v="1.4"/>
    <n v="1"/>
    <n v="1"/>
    <x v="5"/>
  </r>
  <r>
    <x v="77"/>
    <d v="1899-12-30T05:39:01"/>
    <d v="1899-12-30T17:48:31"/>
    <n v="0"/>
    <n v="14.64"/>
    <n v="3.79"/>
    <n v="0.42"/>
    <n v="1"/>
    <n v="2"/>
    <x v="5"/>
  </r>
  <r>
    <x v="78"/>
    <d v="1899-12-30T05:36:41"/>
    <d v="1899-12-30T17:50:16"/>
    <n v="0"/>
    <n v="12.39"/>
    <n v="3.87"/>
    <n v="1.02"/>
    <n v="1"/>
    <n v="3"/>
    <x v="5"/>
  </r>
  <r>
    <x v="79"/>
    <d v="1899-12-30T05:34:21"/>
    <d v="1899-12-30T17:52:00"/>
    <n v="3"/>
    <n v="3.56"/>
    <n v="1.4"/>
    <n v="3.29"/>
    <n v="0"/>
    <n v="0"/>
    <x v="5"/>
  </r>
  <r>
    <x v="80"/>
    <d v="1899-12-30T05:32:01"/>
    <d v="1899-12-30T17:53:45"/>
    <n v="5"/>
    <n v="3.59"/>
    <n v="2.0099999999999998"/>
    <n v="3.66"/>
    <n v="0"/>
    <n v="0"/>
    <x v="5"/>
  </r>
  <r>
    <x v="81"/>
    <d v="1899-12-30T05:29:40"/>
    <d v="1899-12-30T17:55:29"/>
    <n v="0"/>
    <n v="12.04"/>
    <n v="3.72"/>
    <n v="1.59"/>
    <n v="1"/>
    <n v="1"/>
    <x v="5"/>
  </r>
  <r>
    <x v="82"/>
    <d v="1899-12-30T05:27:20"/>
    <d v="1899-12-30T17:57:13"/>
    <n v="0"/>
    <n v="12.54"/>
    <n v="3.69"/>
    <n v="1.05"/>
    <n v="1"/>
    <n v="2"/>
    <x v="5"/>
  </r>
  <r>
    <x v="83"/>
    <d v="1899-12-30T05:25:00"/>
    <d v="1899-12-30T17:58:58"/>
    <n v="3"/>
    <n v="3.96"/>
    <n v="2.59"/>
    <n v="3.5"/>
    <n v="0"/>
    <n v="0"/>
    <x v="5"/>
  </r>
  <r>
    <x v="84"/>
    <d v="1899-12-30T05:22:39"/>
    <d v="1899-12-30T18:00:42"/>
    <n v="0"/>
    <n v="12.15"/>
    <n v="3.61"/>
    <n v="0.86"/>
    <n v="1"/>
    <n v="1"/>
    <x v="5"/>
  </r>
  <r>
    <x v="85"/>
    <d v="1899-12-30T06:20:19"/>
    <d v="1899-12-30T19:02:26"/>
    <n v="0"/>
    <n v="10.83"/>
    <n v="3.78"/>
    <n v="2.4700000000000002"/>
    <n v="1"/>
    <n v="2"/>
    <x v="5"/>
  </r>
  <r>
    <x v="86"/>
    <d v="1899-12-30T06:17:59"/>
    <d v="1899-12-30T19:04:10"/>
    <n v="4"/>
    <n v="4.42"/>
    <n v="3.15"/>
    <n v="3.62"/>
    <n v="0"/>
    <n v="0"/>
    <x v="5"/>
  </r>
  <r>
    <x v="87"/>
    <d v="1899-12-30T06:15:39"/>
    <d v="1899-12-30T19:05:53"/>
    <n v="7"/>
    <n v="1.83"/>
    <n v="0.6"/>
    <n v="2.89"/>
    <n v="0"/>
    <n v="0"/>
    <x v="5"/>
  </r>
  <r>
    <x v="88"/>
    <d v="1899-12-30T06:13:19"/>
    <d v="1899-12-30T19:07:37"/>
    <n v="0"/>
    <n v="10.86"/>
    <n v="3.24"/>
    <n v="1.57"/>
    <n v="1"/>
    <n v="1"/>
    <x v="5"/>
  </r>
  <r>
    <x v="89"/>
    <d v="1899-12-30T06:11:00"/>
    <d v="1899-12-30T19:09:21"/>
    <n v="0"/>
    <n v="10.73"/>
    <n v="3.02"/>
    <n v="2.14"/>
    <n v="1"/>
    <n v="2"/>
    <x v="5"/>
  </r>
  <r>
    <x v="90"/>
    <d v="1899-12-30T06:08:40"/>
    <d v="1899-12-30T19:11:05"/>
    <n v="3"/>
    <n v="5.21"/>
    <n v="2.46"/>
    <n v="2.89"/>
    <n v="0"/>
    <n v="0"/>
    <x v="6"/>
  </r>
  <r>
    <x v="91"/>
    <d v="1899-12-30T06:06:21"/>
    <d v="1899-12-30T19:12:48"/>
    <n v="0"/>
    <n v="11.83"/>
    <n v="3.14"/>
    <n v="1.08"/>
    <n v="1"/>
    <n v="1"/>
    <x v="6"/>
  </r>
  <r>
    <x v="92"/>
    <d v="1899-12-30T06:04:02"/>
    <d v="1899-12-30T19:14:32"/>
    <n v="6"/>
    <n v="2.3199999999999998"/>
    <n v="1.08"/>
    <n v="4.09"/>
    <n v="0"/>
    <n v="0"/>
    <x v="6"/>
  </r>
  <r>
    <x v="93"/>
    <d v="1899-12-30T06:01:44"/>
    <d v="1899-12-30T19:16:16"/>
    <n v="2"/>
    <n v="6.34"/>
    <n v="3.25"/>
    <n v="2.0099999999999998"/>
    <n v="1"/>
    <n v="1"/>
    <x v="6"/>
  </r>
  <r>
    <x v="94"/>
    <d v="1899-12-30T05:59:25"/>
    <d v="1899-12-30T19:17:59"/>
    <n v="4"/>
    <n v="4.87"/>
    <n v="1.47"/>
    <n v="1.86"/>
    <n v="0"/>
    <n v="0"/>
    <x v="6"/>
  </r>
  <r>
    <x v="95"/>
    <d v="1899-12-30T05:57:08"/>
    <d v="1899-12-30T19:19:43"/>
    <n v="4"/>
    <n v="3.57"/>
    <n v="0.16"/>
    <n v="2.94"/>
    <n v="1"/>
    <n v="1"/>
    <x v="6"/>
  </r>
  <r>
    <x v="96"/>
    <d v="1899-12-30T05:54:50"/>
    <d v="1899-12-30T19:21:27"/>
    <n v="2"/>
    <n v="6.61"/>
    <n v="2.5099999999999998"/>
    <n v="1.34"/>
    <n v="1"/>
    <n v="2"/>
    <x v="6"/>
  </r>
  <r>
    <x v="97"/>
    <d v="1899-12-30T05:52:33"/>
    <d v="1899-12-30T19:23:10"/>
    <n v="0"/>
    <n v="14.15"/>
    <n v="3.32"/>
    <n v="1.82"/>
    <n v="1"/>
    <n v="3"/>
    <x v="6"/>
  </r>
  <r>
    <x v="98"/>
    <d v="1899-12-30T05:50:17"/>
    <d v="1899-12-30T19:24:54"/>
    <n v="0"/>
    <n v="10.3"/>
    <n v="3.31"/>
    <n v="4.1500000000000004"/>
    <n v="1"/>
    <n v="4"/>
    <x v="6"/>
  </r>
  <r>
    <x v="99"/>
    <d v="1899-12-30T05:48:01"/>
    <d v="1899-12-30T19:26:38"/>
    <n v="0"/>
    <n v="10.039999999999999"/>
    <n v="3.85"/>
    <n v="3.16"/>
    <n v="1"/>
    <n v="5"/>
    <x v="6"/>
  </r>
  <r>
    <x v="100"/>
    <d v="1899-12-30T05:45:45"/>
    <d v="1899-12-30T19:28:21"/>
    <n v="4"/>
    <n v="3.82"/>
    <n v="1.64"/>
    <n v="3.12"/>
    <n v="0"/>
    <n v="0"/>
    <x v="6"/>
  </r>
  <r>
    <x v="101"/>
    <d v="1899-12-30T05:43:30"/>
    <d v="1899-12-30T19:30:05"/>
    <n v="1"/>
    <n v="7.92"/>
    <n v="3.79"/>
    <n v="3.05"/>
    <n v="1"/>
    <n v="1"/>
    <x v="6"/>
  </r>
  <r>
    <x v="102"/>
    <d v="1899-12-30T05:41:16"/>
    <d v="1899-12-30T19:31:49"/>
    <n v="1"/>
    <n v="7.5"/>
    <n v="3.12"/>
    <n v="2.94"/>
    <n v="1"/>
    <n v="2"/>
    <x v="6"/>
  </r>
  <r>
    <x v="103"/>
    <d v="1899-12-30T05:39:02"/>
    <d v="1899-12-30T19:33:32"/>
    <n v="0"/>
    <n v="12.58"/>
    <n v="3.42"/>
    <n v="2.0499999999999998"/>
    <n v="1"/>
    <n v="3"/>
    <x v="6"/>
  </r>
  <r>
    <x v="104"/>
    <d v="1899-12-30T05:36:49"/>
    <d v="1899-12-30T19:35:16"/>
    <n v="2"/>
    <n v="7.66"/>
    <n v="3.41"/>
    <n v="1.68"/>
    <n v="0"/>
    <n v="0"/>
    <x v="6"/>
  </r>
  <r>
    <x v="105"/>
    <d v="1899-12-30T05:34:37"/>
    <d v="1899-12-30T19:37:00"/>
    <n v="4"/>
    <n v="4.16"/>
    <n v="1.58"/>
    <n v="2.89"/>
    <n v="0"/>
    <n v="0"/>
    <x v="7"/>
  </r>
  <r>
    <x v="106"/>
    <d v="1899-12-30T05:32:25"/>
    <d v="1899-12-30T19:38:44"/>
    <n v="6"/>
    <n v="2.34"/>
    <n v="1.06"/>
    <n v="2.46"/>
    <n v="0"/>
    <n v="0"/>
    <x v="7"/>
  </r>
  <r>
    <x v="107"/>
    <d v="1899-12-30T05:30:15"/>
    <d v="1899-12-30T19:40:27"/>
    <n v="6"/>
    <n v="2.42"/>
    <n v="1.24"/>
    <n v="2.97"/>
    <n v="1"/>
    <n v="1"/>
    <x v="7"/>
  </r>
  <r>
    <x v="108"/>
    <d v="1899-12-30T05:28:05"/>
    <d v="1899-12-30T19:42:11"/>
    <n v="4"/>
    <n v="3.78"/>
    <n v="2.0699999999999998"/>
    <n v="2.93"/>
    <n v="1"/>
    <n v="2"/>
    <x v="7"/>
  </r>
  <r>
    <x v="109"/>
    <d v="1899-12-30T05:25:56"/>
    <d v="1899-12-30T19:43:54"/>
    <n v="1"/>
    <n v="7.54"/>
    <n v="2.57"/>
    <n v="2.06"/>
    <n v="1"/>
    <n v="3"/>
    <x v="7"/>
  </r>
  <r>
    <x v="110"/>
    <d v="1899-12-30T05:23:48"/>
    <d v="1899-12-30T19:45:38"/>
    <n v="0"/>
    <n v="13.18"/>
    <n v="3.56"/>
    <n v="2.02"/>
    <n v="1"/>
    <n v="4"/>
    <x v="7"/>
  </r>
  <r>
    <x v="111"/>
    <d v="1899-12-30T05:21:40"/>
    <d v="1899-12-30T19:47:22"/>
    <n v="5"/>
    <n v="2.54"/>
    <n v="0.68"/>
    <n v="3.58"/>
    <n v="0"/>
    <n v="0"/>
    <x v="7"/>
  </r>
  <r>
    <x v="112"/>
    <d v="1899-12-30T05:19:34"/>
    <d v="1899-12-30T19:49:05"/>
    <n v="0"/>
    <n v="10.62"/>
    <n v="3.13"/>
    <n v="2.0699999999999998"/>
    <n v="1"/>
    <n v="1"/>
    <x v="7"/>
  </r>
  <r>
    <x v="113"/>
    <d v="1899-12-30T05:17:29"/>
    <d v="1899-12-30T19:50:48"/>
    <n v="0"/>
    <n v="13.23"/>
    <n v="3.2"/>
    <n v="0.56000000000000005"/>
    <n v="1"/>
    <n v="2"/>
    <x v="7"/>
  </r>
  <r>
    <x v="114"/>
    <d v="1899-12-30T05:15:25"/>
    <d v="1899-12-30T19:52:32"/>
    <n v="6"/>
    <n v="3.09"/>
    <n v="1.32"/>
    <n v="3.52"/>
    <n v="0"/>
    <n v="0"/>
    <x v="7"/>
  </r>
  <r>
    <x v="115"/>
    <d v="1899-12-30T05:13:22"/>
    <d v="1899-12-30T19:54:15"/>
    <n v="2"/>
    <n v="5.84"/>
    <n v="2.5099999999999998"/>
    <n v="1.33"/>
    <n v="1"/>
    <n v="1"/>
    <x v="7"/>
  </r>
  <r>
    <x v="116"/>
    <d v="1899-12-30T05:11:20"/>
    <d v="1899-12-30T19:55:58"/>
    <n v="2"/>
    <n v="6.08"/>
    <n v="2.34"/>
    <n v="1.65"/>
    <n v="1"/>
    <n v="2"/>
    <x v="7"/>
  </r>
  <r>
    <x v="117"/>
    <d v="1899-12-30T05:09:19"/>
    <d v="1899-12-30T19:57:40"/>
    <n v="6"/>
    <n v="3.61"/>
    <n v="1.32"/>
    <n v="2.14"/>
    <n v="0"/>
    <n v="0"/>
    <x v="7"/>
  </r>
  <r>
    <x v="118"/>
    <d v="1899-12-30T05:07:20"/>
    <d v="1899-12-30T19:59:23"/>
    <n v="1"/>
    <n v="9.2799999999999994"/>
    <n v="3.62"/>
    <n v="2.17"/>
    <n v="1"/>
    <n v="1"/>
    <x v="7"/>
  </r>
  <r>
    <x v="119"/>
    <d v="1899-12-30T05:05:22"/>
    <d v="1899-12-30T20:01:05"/>
    <n v="5"/>
    <n v="4.6900000000000004"/>
    <n v="3.21"/>
    <n v="2.9"/>
    <n v="0"/>
    <n v="0"/>
    <x v="7"/>
  </r>
  <r>
    <x v="120"/>
    <d v="1899-12-30T05:03:25"/>
    <d v="1899-12-30T20:02:47"/>
    <n v="3"/>
    <n v="4.0999999999999996"/>
    <n v="2.16"/>
    <n v="3.12"/>
    <n v="1"/>
    <n v="1"/>
    <x v="7"/>
  </r>
  <r>
    <x v="121"/>
    <d v="1899-12-30T05:01:29"/>
    <d v="1899-12-30T20:04:29"/>
    <n v="0"/>
    <n v="12.23"/>
    <n v="3.94"/>
    <n v="2.0099999999999998"/>
    <n v="1"/>
    <n v="2"/>
    <x v="8"/>
  </r>
  <r>
    <x v="122"/>
    <d v="1899-12-30T04:59:35"/>
    <d v="1899-12-30T20:06:11"/>
    <n v="3"/>
    <n v="5.28"/>
    <n v="2.87"/>
    <n v="2.58"/>
    <n v="0"/>
    <n v="0"/>
    <x v="8"/>
  </r>
  <r>
    <x v="123"/>
    <d v="1899-12-30T04:57:42"/>
    <d v="1899-12-30T20:07:52"/>
    <n v="0"/>
    <n v="13.63"/>
    <n v="3.27"/>
    <n v="0.93"/>
    <n v="1"/>
    <n v="1"/>
    <x v="8"/>
  </r>
  <r>
    <x v="124"/>
    <d v="1899-12-30T04:55:51"/>
    <d v="1899-12-30T20:09:32"/>
    <n v="0"/>
    <n v="13.36"/>
    <n v="3.91"/>
    <n v="1.56"/>
    <n v="1"/>
    <n v="2"/>
    <x v="8"/>
  </r>
  <r>
    <x v="125"/>
    <d v="1899-12-30T04:54:02"/>
    <d v="1899-12-30T20:11:13"/>
    <n v="1"/>
    <n v="8.76"/>
    <n v="3.15"/>
    <n v="1.42"/>
    <n v="0"/>
    <n v="0"/>
    <x v="8"/>
  </r>
  <r>
    <x v="126"/>
    <d v="1899-12-30T04:52:14"/>
    <d v="1899-12-30T20:12:52"/>
    <n v="2"/>
    <n v="5.66"/>
    <n v="4.2"/>
    <n v="2.94"/>
    <n v="0"/>
    <n v="0"/>
    <x v="8"/>
  </r>
  <r>
    <x v="127"/>
    <d v="1899-12-30T04:50:27"/>
    <d v="1899-12-30T20:14:32"/>
    <n v="2"/>
    <n v="6.84"/>
    <n v="4.38"/>
    <n v="2.0499999999999998"/>
    <n v="1"/>
    <n v="1"/>
    <x v="8"/>
  </r>
  <r>
    <x v="128"/>
    <d v="1899-12-30T04:48:43"/>
    <d v="1899-12-30T20:16:10"/>
    <n v="7"/>
    <n v="2.89"/>
    <n v="0.59"/>
    <n v="2.19"/>
    <n v="0"/>
    <n v="0"/>
    <x v="8"/>
  </r>
  <r>
    <x v="129"/>
    <d v="1899-12-30T04:47:00"/>
    <d v="1899-12-30T20:17:49"/>
    <n v="3"/>
    <n v="5.65"/>
    <n v="3.89"/>
    <n v="3.4"/>
    <n v="1"/>
    <n v="1"/>
    <x v="8"/>
  </r>
  <r>
    <x v="130"/>
    <d v="1899-12-30T04:45:19"/>
    <d v="1899-12-30T20:19:26"/>
    <n v="1"/>
    <n v="8.83"/>
    <n v="3.04"/>
    <n v="2.06"/>
    <n v="1"/>
    <n v="2"/>
    <x v="8"/>
  </r>
  <r>
    <x v="131"/>
    <d v="1899-12-30T04:43:40"/>
    <d v="1899-12-30T20:21:03"/>
    <n v="0"/>
    <n v="12.14"/>
    <n v="5.23"/>
    <n v="3.48"/>
    <n v="1"/>
    <n v="3"/>
    <x v="8"/>
  </r>
  <r>
    <x v="132"/>
    <d v="1899-12-30T04:42:02"/>
    <d v="1899-12-30T20:22:39"/>
    <n v="1"/>
    <n v="14.36"/>
    <n v="6.3"/>
    <n v="1.57"/>
    <n v="0"/>
    <n v="0"/>
    <x v="8"/>
  </r>
  <r>
    <x v="133"/>
    <d v="1899-12-30T04:40:27"/>
    <d v="1899-12-30T20:24:14"/>
    <n v="8"/>
    <n v="1.1299999999999999"/>
    <n v="0.66"/>
    <n v="3.45"/>
    <n v="0"/>
    <n v="0"/>
    <x v="8"/>
  </r>
  <r>
    <x v="134"/>
    <d v="1899-12-30T04:38:54"/>
    <d v="1899-12-30T20:25:48"/>
    <n v="1"/>
    <n v="10.59"/>
    <n v="4.34"/>
    <n v="2.6"/>
    <n v="1"/>
    <n v="1"/>
    <x v="8"/>
  </r>
  <r>
    <x v="135"/>
    <d v="1899-12-30T04:37:23"/>
    <d v="1899-12-30T20:27:21"/>
    <n v="0"/>
    <n v="16.309999999999999"/>
    <n v="5.36"/>
    <n v="1.89"/>
    <n v="1"/>
    <n v="2"/>
    <x v="8"/>
  </r>
  <r>
    <x v="136"/>
    <d v="1899-12-30T04:35:53"/>
    <d v="1899-12-30T20:28:54"/>
    <n v="0"/>
    <n v="14.39"/>
    <n v="5.34"/>
    <n v="1.1399999999999999"/>
    <n v="1"/>
    <n v="3"/>
    <x v="8"/>
  </r>
  <r>
    <x v="137"/>
    <d v="1899-12-30T04:34:27"/>
    <d v="1899-12-30T20:30:25"/>
    <n v="0"/>
    <n v="15.29"/>
    <n v="4.59"/>
    <n v="1.27"/>
    <n v="1"/>
    <n v="4"/>
    <x v="8"/>
  </r>
  <r>
    <x v="138"/>
    <d v="1899-12-30T04:33:02"/>
    <d v="1899-12-30T20:31:55"/>
    <n v="5"/>
    <n v="5.77"/>
    <n v="2.58"/>
    <n v="1.1599999999999999"/>
    <n v="0"/>
    <n v="0"/>
    <x v="8"/>
  </r>
  <r>
    <x v="139"/>
    <d v="1899-12-30T04:31:39"/>
    <d v="1899-12-30T20:33:24"/>
    <n v="3"/>
    <n v="6.62"/>
    <n v="4.3"/>
    <n v="2.2799999999999998"/>
    <n v="1"/>
    <n v="1"/>
    <x v="9"/>
  </r>
  <r>
    <x v="140"/>
    <d v="1899-12-30T04:30:19"/>
    <d v="1899-12-30T20:34:52"/>
    <n v="2"/>
    <n v="5.03"/>
    <n v="2.81"/>
    <n v="3.05"/>
    <n v="1"/>
    <n v="2"/>
    <x v="9"/>
  </r>
  <r>
    <x v="141"/>
    <d v="1899-12-30T04:29:02"/>
    <d v="1899-12-30T20:36:18"/>
    <n v="0"/>
    <n v="14.1"/>
    <n v="4.04"/>
    <n v="2.86"/>
    <n v="1"/>
    <n v="3"/>
    <x v="9"/>
  </r>
  <r>
    <x v="142"/>
    <d v="1899-12-30T04:27:46"/>
    <d v="1899-12-30T20:37:43"/>
    <n v="8"/>
    <n v="1.36"/>
    <n v="0.57999999999999996"/>
    <n v="4.95"/>
    <n v="0"/>
    <n v="0"/>
    <x v="9"/>
  </r>
  <r>
    <x v="143"/>
    <d v="1899-12-30T04:26:34"/>
    <d v="1899-12-30T20:39:07"/>
    <n v="8"/>
    <n v="1.71"/>
    <n v="0.14000000000000001"/>
    <n v="3.51"/>
    <n v="1"/>
    <n v="1"/>
    <x v="9"/>
  </r>
  <r>
    <x v="144"/>
    <d v="1899-12-30T04:25:23"/>
    <d v="1899-12-30T20:40:29"/>
    <n v="6"/>
    <n v="1.6"/>
    <n v="0.94"/>
    <n v="4.68"/>
    <n v="1"/>
    <n v="2"/>
    <x v="9"/>
  </r>
  <r>
    <x v="145"/>
    <d v="1899-12-30T04:24:16"/>
    <d v="1899-12-30T20:41:49"/>
    <n v="4"/>
    <n v="2.0699999999999998"/>
    <n v="1.05"/>
    <n v="3.94"/>
    <n v="1"/>
    <n v="3"/>
    <x v="9"/>
  </r>
  <r>
    <x v="146"/>
    <d v="1899-12-30T04:23:11"/>
    <d v="1899-12-30T20:43:08"/>
    <n v="4"/>
    <n v="2.96"/>
    <n v="1.06"/>
    <n v="3.59"/>
    <n v="1"/>
    <n v="4"/>
    <x v="9"/>
  </r>
  <r>
    <x v="147"/>
    <d v="1899-12-30T04:22:08"/>
    <d v="1899-12-30T20:44:24"/>
    <n v="3"/>
    <n v="5.78"/>
    <n v="4.2"/>
    <n v="2.96"/>
    <n v="1"/>
    <n v="5"/>
    <x v="9"/>
  </r>
  <r>
    <x v="148"/>
    <d v="1899-12-30T04:21:09"/>
    <d v="1899-12-30T20:45:40"/>
    <n v="1"/>
    <n v="15.38"/>
    <n v="10.54"/>
    <n v="2.16"/>
    <n v="1"/>
    <n v="6"/>
    <x v="9"/>
  </r>
  <r>
    <x v="149"/>
    <d v="1899-12-30T04:20:12"/>
    <d v="1899-12-30T20:46:53"/>
    <n v="1"/>
    <n v="15.89"/>
    <n v="9.68"/>
    <n v="1.24"/>
    <n v="1"/>
    <n v="7"/>
    <x v="9"/>
  </r>
  <r>
    <x v="150"/>
    <d v="1899-12-30T04:19:18"/>
    <d v="1899-12-30T20:48:04"/>
    <n v="0"/>
    <n v="18.7"/>
    <n v="9.4"/>
    <n v="0.39"/>
    <n v="1"/>
    <n v="8"/>
    <x v="9"/>
  </r>
  <r>
    <x v="151"/>
    <d v="1899-12-30T04:18:27"/>
    <d v="1899-12-30T20:49:13"/>
    <n v="0"/>
    <n v="14.56"/>
    <n v="3.3"/>
    <n v="0.64"/>
    <n v="1"/>
    <n v="9"/>
    <x v="9"/>
  </r>
  <r>
    <x v="152"/>
    <d v="1899-12-30T04:17:39"/>
    <d v="1899-12-30T20:50:20"/>
    <n v="3"/>
    <n v="5.87"/>
    <n v="2.16"/>
    <n v="2.14"/>
    <n v="0"/>
    <n v="0"/>
    <x v="9"/>
  </r>
  <r>
    <x v="153"/>
    <d v="1899-12-30T04:16:54"/>
    <d v="1899-12-30T20:51:25"/>
    <n v="0"/>
    <n v="19.62"/>
    <n v="9.23"/>
    <n v="0.34"/>
    <n v="1"/>
    <n v="1"/>
    <x v="9"/>
  </r>
  <r>
    <x v="154"/>
    <d v="1899-12-30T04:16:12"/>
    <d v="1899-12-30T20:52:27"/>
    <n v="2"/>
    <n v="5.79"/>
    <n v="1.35"/>
    <n v="1.1200000000000001"/>
    <n v="0"/>
    <n v="0"/>
    <x v="9"/>
  </r>
  <r>
    <x v="155"/>
    <d v="1899-12-30T04:15:32"/>
    <d v="1899-12-30T20:53:27"/>
    <n v="1"/>
    <n v="10.67"/>
    <n v="5.16"/>
    <n v="2.68"/>
    <n v="1"/>
    <n v="1"/>
    <x v="9"/>
  </r>
  <r>
    <x v="156"/>
    <d v="1899-12-30T04:14:56"/>
    <d v="1899-12-30T20:54:25"/>
    <n v="0"/>
    <n v="12.47"/>
    <n v="3.15"/>
    <n v="1.34"/>
    <n v="1"/>
    <n v="2"/>
    <x v="9"/>
  </r>
  <r>
    <x v="157"/>
    <d v="1899-12-30T04:14:23"/>
    <d v="1899-12-30T20:55:20"/>
    <n v="0"/>
    <n v="19.79"/>
    <n v="12.84"/>
    <n v="3.5"/>
    <n v="1"/>
    <n v="3"/>
    <x v="9"/>
  </r>
  <r>
    <x v="158"/>
    <d v="1899-12-30T04:13:54"/>
    <d v="1899-12-30T20:56:13"/>
    <n v="0"/>
    <n v="12.57"/>
    <n v="6.64"/>
    <n v="3.26"/>
    <n v="1"/>
    <n v="4"/>
    <x v="9"/>
  </r>
  <r>
    <x v="159"/>
    <d v="1899-12-30T04:13:27"/>
    <d v="1899-12-30T20:57:03"/>
    <n v="4"/>
    <n v="4.3"/>
    <n v="2.36"/>
    <n v="3.54"/>
    <n v="0"/>
    <n v="0"/>
    <x v="9"/>
  </r>
  <r>
    <x v="160"/>
    <d v="1899-12-30T04:13:03"/>
    <d v="1899-12-30T20:57:50"/>
    <n v="1"/>
    <n v="12.65"/>
    <n v="6.94"/>
    <n v="3.24"/>
    <n v="1"/>
    <n v="1"/>
    <x v="9"/>
  </r>
  <r>
    <x v="161"/>
    <d v="1899-12-30T04:12:43"/>
    <d v="1899-12-30T20:58:35"/>
    <n v="1"/>
    <n v="8.86"/>
    <n v="2.94"/>
    <n v="1.68"/>
    <n v="1"/>
    <n v="2"/>
    <x v="9"/>
  </r>
  <r>
    <x v="162"/>
    <d v="1899-12-30T04:12:26"/>
    <d v="1899-12-30T20:59:17"/>
    <n v="3"/>
    <n v="5.64"/>
    <n v="4.25"/>
    <n v="4.95"/>
    <n v="0"/>
    <n v="0"/>
    <x v="9"/>
  </r>
  <r>
    <x v="163"/>
    <d v="1899-12-30T04:12:12"/>
    <d v="1899-12-30T20:59:56"/>
    <n v="2"/>
    <n v="6.89"/>
    <n v="3.98"/>
    <n v="2.4900000000000002"/>
    <n v="1"/>
    <n v="1"/>
    <x v="9"/>
  </r>
  <r>
    <x v="164"/>
    <d v="1899-12-30T04:12:01"/>
    <d v="1899-12-30T21:00:32"/>
    <n v="0"/>
    <n v="14.03"/>
    <n v="5.68"/>
    <n v="2.95"/>
    <n v="1"/>
    <n v="2"/>
    <x v="9"/>
  </r>
  <r>
    <x v="165"/>
    <d v="1899-12-30T04:11:54"/>
    <d v="1899-12-30T21:01:05"/>
    <n v="1"/>
    <n v="11.04"/>
    <n v="4.9400000000000004"/>
    <n v="3.41"/>
    <n v="0"/>
    <n v="0"/>
    <x v="9"/>
  </r>
  <r>
    <x v="166"/>
    <d v="1899-12-30T04:11:49"/>
    <d v="1899-12-30T21:01:35"/>
    <n v="0"/>
    <n v="11.7"/>
    <n v="4.79"/>
    <n v="2.5099999999999998"/>
    <n v="1"/>
    <n v="1"/>
    <x v="9"/>
  </r>
  <r>
    <x v="167"/>
    <d v="1899-12-30T04:11:48"/>
    <d v="1899-12-30T21:02:02"/>
    <n v="3"/>
    <n v="5.39"/>
    <n v="4.6500000000000004"/>
    <n v="4.25"/>
    <n v="0"/>
    <n v="0"/>
    <x v="9"/>
  </r>
  <r>
    <x v="168"/>
    <d v="1899-12-30T04:11:50"/>
    <d v="1899-12-30T21:02:26"/>
    <n v="0"/>
    <n v="11.1"/>
    <n v="4.6399999999999997"/>
    <n v="3.54"/>
    <n v="1"/>
    <n v="1"/>
    <x v="9"/>
  </r>
  <r>
    <x v="169"/>
    <d v="1899-12-30T04:11:56"/>
    <d v="1899-12-30T21:02:47"/>
    <n v="0"/>
    <n v="15.81"/>
    <n v="7.63"/>
    <n v="2.02"/>
    <n v="1"/>
    <n v="2"/>
    <x v="9"/>
  </r>
  <r>
    <x v="170"/>
    <d v="1899-12-30T04:12:04"/>
    <d v="1899-12-30T21:03:04"/>
    <n v="2"/>
    <n v="8.8800000000000008"/>
    <n v="6.14"/>
    <n v="3.61"/>
    <n v="0"/>
    <n v="0"/>
    <x v="9"/>
  </r>
  <r>
    <x v="171"/>
    <d v="1899-12-30T04:12:16"/>
    <d v="1899-12-30T21:03:19"/>
    <n v="0"/>
    <n v="14.44"/>
    <n v="3.61"/>
    <n v="0.56999999999999995"/>
    <n v="1"/>
    <n v="1"/>
    <x v="9"/>
  </r>
  <r>
    <x v="172"/>
    <d v="1899-12-30T04:12:31"/>
    <d v="1899-12-30T21:03:30"/>
    <n v="1"/>
    <n v="9.7899999999999991"/>
    <n v="4.8"/>
    <n v="3.05"/>
    <n v="0"/>
    <n v="0"/>
    <x v="9"/>
  </r>
  <r>
    <x v="173"/>
    <d v="1899-12-30T04:12:49"/>
    <d v="1899-12-30T21:03:38"/>
    <n v="0"/>
    <n v="14.78"/>
    <n v="6.76"/>
    <n v="3.64"/>
    <n v="1"/>
    <n v="1"/>
    <x v="9"/>
  </r>
  <r>
    <x v="174"/>
    <d v="1899-12-30T04:13:10"/>
    <d v="1899-12-30T21:03:43"/>
    <n v="0"/>
    <n v="14.52"/>
    <n v="8.19"/>
    <n v="3.95"/>
    <n v="1"/>
    <n v="2"/>
    <x v="9"/>
  </r>
  <r>
    <x v="175"/>
    <d v="1899-12-30T04:13:34"/>
    <d v="1899-12-30T21:03:44"/>
    <n v="3"/>
    <n v="5.86"/>
    <n v="4.1900000000000004"/>
    <n v="3.85"/>
    <n v="0"/>
    <n v="0"/>
    <x v="9"/>
  </r>
  <r>
    <x v="176"/>
    <d v="1899-12-30T04:14:01"/>
    <d v="1899-12-30T21:03:42"/>
    <n v="1"/>
    <n v="12.81"/>
    <n v="7.18"/>
    <n v="1.54"/>
    <n v="1"/>
    <n v="1"/>
    <x v="9"/>
  </r>
  <r>
    <x v="177"/>
    <d v="1899-12-30T04:14:31"/>
    <d v="1899-12-30T21:03:37"/>
    <n v="0"/>
    <n v="13.22"/>
    <n v="5.53"/>
    <n v="4.26"/>
    <n v="1"/>
    <n v="2"/>
    <x v="9"/>
  </r>
  <r>
    <x v="178"/>
    <d v="1899-12-30T04:15:04"/>
    <d v="1899-12-30T21:03:29"/>
    <n v="0"/>
    <n v="14.18"/>
    <n v="6.49"/>
    <n v="3.84"/>
    <n v="1"/>
    <n v="3"/>
    <x v="9"/>
  </r>
  <r>
    <x v="179"/>
    <d v="1899-12-30T04:15:40"/>
    <d v="1899-12-30T21:03:18"/>
    <n v="0"/>
    <n v="18.47"/>
    <n v="9.1999999999999993"/>
    <n v="2.4700000000000002"/>
    <n v="1"/>
    <n v="4"/>
    <x v="9"/>
  </r>
  <r>
    <x v="180"/>
    <d v="1899-12-30T04:16:19"/>
    <d v="1899-12-30T21:03:03"/>
    <n v="3"/>
    <n v="6.81"/>
    <n v="2.59"/>
    <n v="1.95"/>
    <n v="0"/>
    <n v="0"/>
    <x v="9"/>
  </r>
  <r>
    <x v="181"/>
    <d v="1899-12-30T04:17:00"/>
    <d v="1899-12-30T21:02:45"/>
    <n v="2"/>
    <n v="2.96"/>
    <n v="1.54"/>
    <n v="4.5199999999999996"/>
    <n v="1"/>
    <n v="1"/>
    <x v="9"/>
  </r>
  <r>
    <x v="182"/>
    <d v="1899-12-30T04:17:44"/>
    <d v="1899-12-30T21:02:23"/>
    <n v="0"/>
    <n v="13.76"/>
    <n v="7.09"/>
    <n v="4.32"/>
    <n v="1"/>
    <n v="2"/>
    <x v="9"/>
  </r>
  <r>
    <x v="183"/>
    <d v="1899-12-30T04:18:31"/>
    <d v="1899-12-30T21:01:59"/>
    <n v="0"/>
    <n v="17.920000000000002"/>
    <n v="10.28"/>
    <n v="2.65"/>
    <n v="1"/>
    <n v="3"/>
    <x v="9"/>
  </r>
  <r>
    <x v="184"/>
    <d v="1899-12-30T04:19:21"/>
    <d v="1899-12-30T21:01:31"/>
    <n v="0"/>
    <n v="19.89"/>
    <n v="10.64"/>
    <n v="1.48"/>
    <n v="1"/>
    <n v="4"/>
    <x v="9"/>
  </r>
  <r>
    <x v="185"/>
    <d v="1899-12-30T04:20:12"/>
    <d v="1899-12-30T21:01:00"/>
    <n v="0"/>
    <n v="19.149999999999999"/>
    <n v="11.79"/>
    <n v="2.95"/>
    <n v="1"/>
    <n v="5"/>
    <x v="9"/>
  </r>
  <r>
    <x v="186"/>
    <d v="1899-12-30T04:21:07"/>
    <d v="1899-12-30T21:00:26"/>
    <n v="1"/>
    <n v="14.68"/>
    <n v="11.32"/>
    <n v="4.26"/>
    <n v="0"/>
    <n v="0"/>
    <x v="9"/>
  </r>
  <r>
    <x v="187"/>
    <d v="1899-12-30T04:22:04"/>
    <d v="1899-12-30T20:59:49"/>
    <n v="0"/>
    <n v="16.95"/>
    <n v="9.57"/>
    <n v="3.24"/>
    <n v="1"/>
    <n v="1"/>
    <x v="9"/>
  </r>
  <r>
    <x v="188"/>
    <d v="1899-12-30T04:23:03"/>
    <d v="1899-12-30T20:59:09"/>
    <n v="1"/>
    <n v="11.9"/>
    <n v="7.34"/>
    <n v="4.8099999999999996"/>
    <n v="0"/>
    <n v="0"/>
    <x v="9"/>
  </r>
  <r>
    <x v="189"/>
    <d v="1899-12-30T04:24:04"/>
    <d v="1899-12-30T20:58:25"/>
    <n v="0"/>
    <n v="19.440000000000001"/>
    <n v="11.14"/>
    <n v="2.91"/>
    <n v="1"/>
    <n v="1"/>
    <x v="9"/>
  </r>
  <r>
    <x v="190"/>
    <d v="1899-12-30T04:25:08"/>
    <d v="1899-12-30T20:57:39"/>
    <n v="0"/>
    <n v="19.54"/>
    <n v="12.94"/>
    <n v="3.47"/>
    <n v="1"/>
    <n v="2"/>
    <x v="9"/>
  </r>
  <r>
    <x v="191"/>
    <d v="1899-12-30T04:26:13"/>
    <d v="1899-12-30T20:56:50"/>
    <n v="0"/>
    <n v="18.52"/>
    <n v="12.35"/>
    <n v="1.85"/>
    <n v="1"/>
    <n v="3"/>
    <x v="9"/>
  </r>
  <r>
    <x v="192"/>
    <d v="1899-12-30T04:27:21"/>
    <d v="1899-12-30T20:55:57"/>
    <n v="0"/>
    <n v="19.77"/>
    <n v="11.78"/>
    <n v="1.95"/>
    <n v="1"/>
    <n v="4"/>
    <x v="9"/>
  </r>
  <r>
    <x v="193"/>
    <d v="1899-12-30T04:28:31"/>
    <d v="1899-12-30T20:55:02"/>
    <n v="0"/>
    <n v="17.22"/>
    <n v="9.69"/>
    <n v="2.84"/>
    <n v="1"/>
    <n v="5"/>
    <x v="9"/>
  </r>
  <r>
    <x v="194"/>
    <d v="1899-12-30T04:29:42"/>
    <d v="1899-12-30T20:54:04"/>
    <n v="1"/>
    <n v="14.02"/>
    <n v="8.5399999999999991"/>
    <n v="2.69"/>
    <n v="0"/>
    <n v="0"/>
    <x v="9"/>
  </r>
  <r>
    <x v="195"/>
    <d v="1899-12-30T04:30:55"/>
    <d v="1899-12-30T20:53:03"/>
    <n v="1"/>
    <n v="15.96"/>
    <n v="11.95"/>
    <n v="3.05"/>
    <n v="1"/>
    <n v="1"/>
    <x v="9"/>
  </r>
  <r>
    <x v="196"/>
    <d v="1899-12-30T04:32:11"/>
    <d v="1899-12-30T20:52:00"/>
    <n v="1"/>
    <n v="15.06"/>
    <n v="7.68"/>
    <n v="1.1599999999999999"/>
    <n v="1"/>
    <n v="2"/>
    <x v="9"/>
  </r>
  <r>
    <x v="197"/>
    <d v="1899-12-30T04:33:27"/>
    <d v="1899-12-30T20:50:54"/>
    <n v="0"/>
    <n v="19.62"/>
    <n v="10.19"/>
    <n v="0.47"/>
    <n v="1"/>
    <n v="3"/>
    <x v="9"/>
  </r>
  <r>
    <x v="198"/>
    <d v="1899-12-30T04:34:46"/>
    <d v="1899-12-30T20:49:45"/>
    <n v="0"/>
    <n v="18.97"/>
    <n v="8.85"/>
    <n v="1.66"/>
    <n v="1"/>
    <n v="4"/>
    <x v="9"/>
  </r>
  <r>
    <x v="199"/>
    <d v="1899-12-30T04:36:05"/>
    <d v="1899-12-30T20:48:33"/>
    <n v="0"/>
    <n v="17.940000000000001"/>
    <n v="9.83"/>
    <n v="3.13"/>
    <n v="1"/>
    <n v="5"/>
    <x v="9"/>
  </r>
  <r>
    <x v="200"/>
    <d v="1899-12-30T04:37:27"/>
    <d v="1899-12-30T20:47:19"/>
    <n v="0"/>
    <n v="17.350000000000001"/>
    <n v="11.02"/>
    <n v="2.82"/>
    <n v="1"/>
    <n v="6"/>
    <x v="9"/>
  </r>
  <r>
    <x v="201"/>
    <d v="1899-12-30T04:38:49"/>
    <d v="1899-12-30T20:46:03"/>
    <n v="0"/>
    <n v="18.3"/>
    <n v="10.96"/>
    <n v="2.14"/>
    <n v="1"/>
    <n v="7"/>
    <x v="9"/>
  </r>
  <r>
    <x v="202"/>
    <d v="1899-12-30T04:40:13"/>
    <d v="1899-12-30T20:44:44"/>
    <n v="0"/>
    <n v="17.04"/>
    <n v="9.85"/>
    <n v="2.2599999999999998"/>
    <n v="1"/>
    <n v="8"/>
    <x v="9"/>
  </r>
  <r>
    <x v="203"/>
    <d v="1899-12-30T04:41:38"/>
    <d v="1899-12-30T20:43:23"/>
    <n v="0"/>
    <n v="18.850000000000001"/>
    <n v="11.75"/>
    <n v="2.94"/>
    <n v="1"/>
    <n v="9"/>
    <x v="9"/>
  </r>
  <r>
    <x v="204"/>
    <d v="1899-12-30T04:43:05"/>
    <d v="1899-12-30T20:41:59"/>
    <n v="0"/>
    <n v="16.55"/>
    <n v="8.33"/>
    <n v="1.56"/>
    <n v="1"/>
    <n v="10"/>
    <x v="8"/>
  </r>
  <r>
    <x v="205"/>
    <d v="1899-12-30T04:44:32"/>
    <d v="1899-12-30T20:40:33"/>
    <n v="1"/>
    <n v="13.83"/>
    <n v="8.1999999999999993"/>
    <n v="3.02"/>
    <n v="0"/>
    <n v="0"/>
    <x v="8"/>
  </r>
  <r>
    <x v="206"/>
    <d v="1899-12-30T04:46:01"/>
    <d v="1899-12-30T20:39:05"/>
    <n v="0"/>
    <n v="16.16"/>
    <n v="8.9499999999999993"/>
    <n v="2.09"/>
    <n v="1"/>
    <n v="1"/>
    <x v="8"/>
  </r>
  <r>
    <x v="207"/>
    <d v="1899-12-30T04:47:30"/>
    <d v="1899-12-30T20:37:34"/>
    <n v="0"/>
    <n v="17.82"/>
    <n v="10.94"/>
    <n v="3.66"/>
    <n v="1"/>
    <n v="2"/>
    <x v="8"/>
  </r>
  <r>
    <x v="208"/>
    <d v="1899-12-30T04:49:00"/>
    <d v="1899-12-30T20:36:02"/>
    <n v="0"/>
    <n v="19.23"/>
    <n v="10.19"/>
    <n v="2.0299999999999998"/>
    <n v="1"/>
    <n v="3"/>
    <x v="8"/>
  </r>
  <r>
    <x v="209"/>
    <d v="1899-12-30T04:50:32"/>
    <d v="1899-12-30T20:34:27"/>
    <n v="0"/>
    <n v="18.59"/>
    <n v="10.29"/>
    <n v="1.74"/>
    <n v="1"/>
    <n v="4"/>
    <x v="8"/>
  </r>
  <r>
    <x v="210"/>
    <d v="1899-12-30T04:52:04"/>
    <d v="1899-12-30T20:32:51"/>
    <n v="1"/>
    <n v="14.2"/>
    <n v="10.59"/>
    <n v="4.04"/>
    <n v="0"/>
    <n v="0"/>
    <x v="8"/>
  </r>
  <r>
    <x v="211"/>
    <d v="1899-12-30T04:53:36"/>
    <d v="1899-12-30T20:31:12"/>
    <n v="1"/>
    <n v="13.79"/>
    <n v="8.49"/>
    <n v="2.38"/>
    <n v="1"/>
    <n v="1"/>
    <x v="8"/>
  </r>
  <r>
    <x v="212"/>
    <d v="1899-12-30T04:55:10"/>
    <d v="1899-12-30T20:29:32"/>
    <n v="1"/>
    <n v="15.96"/>
    <n v="9.48"/>
    <n v="1.78"/>
    <n v="1"/>
    <n v="2"/>
    <x v="8"/>
  </r>
  <r>
    <x v="213"/>
    <d v="1899-12-30T04:56:44"/>
    <d v="1899-12-30T20:27:50"/>
    <n v="0"/>
    <n v="18.86"/>
    <n v="12.56"/>
    <n v="4.93"/>
    <n v="1"/>
    <n v="3"/>
    <x v="8"/>
  </r>
  <r>
    <x v="214"/>
    <d v="1899-12-30T04:58:19"/>
    <d v="1899-12-30T20:26:06"/>
    <n v="0"/>
    <n v="18.12"/>
    <n v="9.15"/>
    <n v="2.87"/>
    <n v="1"/>
    <n v="4"/>
    <x v="8"/>
  </r>
  <r>
    <x v="215"/>
    <d v="1899-12-30T04:59:54"/>
    <d v="1899-12-30T20:24:20"/>
    <n v="0"/>
    <n v="19.88"/>
    <n v="10.14"/>
    <n v="1.94"/>
    <n v="1"/>
    <n v="5"/>
    <x v="8"/>
  </r>
  <r>
    <x v="216"/>
    <d v="1899-12-30T05:01:30"/>
    <d v="1899-12-30T20:22:32"/>
    <n v="1"/>
    <n v="12.71"/>
    <n v="8.08"/>
    <n v="2.89"/>
    <n v="0"/>
    <n v="0"/>
    <x v="8"/>
  </r>
  <r>
    <x v="217"/>
    <d v="1899-12-30T05:03:06"/>
    <d v="1899-12-30T20:20:43"/>
    <n v="1"/>
    <n v="11.46"/>
    <n v="7.01"/>
    <n v="2.95"/>
    <n v="1"/>
    <n v="1"/>
    <x v="8"/>
  </r>
  <r>
    <x v="218"/>
    <d v="1899-12-30T05:04:42"/>
    <d v="1899-12-30T20:18:53"/>
    <n v="0"/>
    <n v="18.38"/>
    <n v="11.16"/>
    <n v="3.69"/>
    <n v="1"/>
    <n v="2"/>
    <x v="8"/>
  </r>
  <r>
    <x v="219"/>
    <d v="1899-12-30T05:06:19"/>
    <d v="1899-12-30T20:17:00"/>
    <n v="0"/>
    <n v="15.21"/>
    <n v="6.71"/>
    <n v="3.21"/>
    <n v="1"/>
    <n v="3"/>
    <x v="8"/>
  </r>
  <r>
    <x v="220"/>
    <d v="1899-12-30T05:07:56"/>
    <d v="1899-12-30T20:15:06"/>
    <n v="0"/>
    <n v="19.329999999999998"/>
    <n v="10.19"/>
    <n v="1.54"/>
    <n v="1"/>
    <n v="4"/>
    <x v="8"/>
  </r>
  <r>
    <x v="221"/>
    <d v="1899-12-30T05:09:34"/>
    <d v="1899-12-30T20:13:11"/>
    <n v="0"/>
    <n v="19.829999999999998"/>
    <n v="12.94"/>
    <n v="3.94"/>
    <n v="1"/>
    <n v="5"/>
    <x v="8"/>
  </r>
  <r>
    <x v="222"/>
    <d v="1899-12-30T05:11:12"/>
    <d v="1899-12-30T20:11:15"/>
    <n v="0"/>
    <n v="15.68"/>
    <n v="6.85"/>
    <n v="2.4900000000000002"/>
    <n v="1"/>
    <n v="6"/>
    <x v="8"/>
  </r>
  <r>
    <x v="223"/>
    <d v="1899-12-30T05:12:50"/>
    <d v="1899-12-30T20:09:17"/>
    <n v="1"/>
    <n v="10.43"/>
    <n v="5.19"/>
    <n v="2.76"/>
    <n v="0"/>
    <n v="0"/>
    <x v="7"/>
  </r>
  <r>
    <x v="224"/>
    <d v="1899-12-30T05:14:28"/>
    <d v="1899-12-30T20:07:17"/>
    <n v="0"/>
    <n v="17.89"/>
    <n v="7.23"/>
    <n v="0.49"/>
    <n v="1"/>
    <n v="1"/>
    <x v="7"/>
  </r>
  <r>
    <x v="225"/>
    <d v="1899-12-30T05:16:07"/>
    <d v="1899-12-30T20:05:17"/>
    <n v="0"/>
    <n v="17.03"/>
    <n v="9.32"/>
    <n v="3.67"/>
    <n v="1"/>
    <n v="2"/>
    <x v="7"/>
  </r>
  <r>
    <x v="226"/>
    <d v="1899-12-30T05:17:45"/>
    <d v="1899-12-30T20:03:15"/>
    <n v="0"/>
    <n v="19.920000000000002"/>
    <n v="12.25"/>
    <n v="1.77"/>
    <n v="1"/>
    <n v="3"/>
    <x v="7"/>
  </r>
  <r>
    <x v="227"/>
    <d v="1899-12-30T05:19:24"/>
    <d v="1899-12-30T20:01:12"/>
    <n v="0"/>
    <n v="16.059999999999999"/>
    <n v="7.46"/>
    <n v="2.1800000000000002"/>
    <n v="1"/>
    <n v="4"/>
    <x v="7"/>
  </r>
  <r>
    <x v="228"/>
    <d v="1899-12-30T05:21:03"/>
    <d v="1899-12-30T19:59:08"/>
    <n v="0"/>
    <n v="18.84"/>
    <n v="10.64"/>
    <n v="3.51"/>
    <n v="1"/>
    <n v="5"/>
    <x v="7"/>
  </r>
  <r>
    <x v="229"/>
    <d v="1899-12-30T05:22:42"/>
    <d v="1899-12-30T19:57:02"/>
    <n v="0"/>
    <n v="18.97"/>
    <n v="10.97"/>
    <n v="3.09"/>
    <n v="1"/>
    <n v="6"/>
    <x v="7"/>
  </r>
  <r>
    <x v="230"/>
    <d v="1899-12-30T05:24:21"/>
    <d v="1899-12-30T19:54:56"/>
    <n v="1"/>
    <n v="11.99"/>
    <n v="7.68"/>
    <n v="3.68"/>
    <n v="0"/>
    <n v="0"/>
    <x v="7"/>
  </r>
  <r>
    <x v="231"/>
    <d v="1899-12-30T05:26:00"/>
    <d v="1899-12-30T19:52:49"/>
    <n v="0"/>
    <n v="19.649999999999999"/>
    <n v="11.94"/>
    <n v="3.66"/>
    <n v="1"/>
    <n v="1"/>
    <x v="7"/>
  </r>
  <r>
    <x v="232"/>
    <d v="1899-12-30T05:27:39"/>
    <d v="1899-12-30T19:50:40"/>
    <n v="1"/>
    <n v="13.19"/>
    <n v="8.34"/>
    <n v="2.4"/>
    <n v="0"/>
    <n v="0"/>
    <x v="7"/>
  </r>
  <r>
    <x v="233"/>
    <d v="1899-12-30T05:29:18"/>
    <d v="1899-12-30T19:48:31"/>
    <n v="1"/>
    <n v="14.17"/>
    <n v="9.9700000000000006"/>
    <n v="3.16"/>
    <n v="1"/>
    <n v="1"/>
    <x v="7"/>
  </r>
  <r>
    <x v="234"/>
    <d v="1899-12-30T05:30:57"/>
    <d v="1899-12-30T19:46:21"/>
    <n v="1"/>
    <n v="12.08"/>
    <n v="6.96"/>
    <n v="2.23"/>
    <n v="1"/>
    <n v="2"/>
    <x v="7"/>
  </r>
  <r>
    <x v="235"/>
    <d v="1899-12-30T05:32:36"/>
    <d v="1899-12-30T19:44:10"/>
    <n v="0"/>
    <n v="18.739999999999998"/>
    <n v="10.34"/>
    <n v="2.92"/>
    <n v="1"/>
    <n v="3"/>
    <x v="7"/>
  </r>
  <r>
    <x v="236"/>
    <d v="1899-12-30T05:34:15"/>
    <d v="1899-12-30T19:41:58"/>
    <n v="0"/>
    <n v="17.95"/>
    <n v="8.23"/>
    <n v="0.78"/>
    <n v="1"/>
    <n v="4"/>
    <x v="7"/>
  </r>
  <r>
    <x v="237"/>
    <d v="1899-12-30T05:35:54"/>
    <d v="1899-12-30T19:39:45"/>
    <n v="0"/>
    <n v="16.829999999999998"/>
    <n v="8.83"/>
    <n v="3.07"/>
    <n v="1"/>
    <n v="5"/>
    <x v="7"/>
  </r>
  <r>
    <x v="238"/>
    <d v="1899-12-30T05:37:33"/>
    <d v="1899-12-30T19:37:32"/>
    <n v="0"/>
    <n v="17.09"/>
    <n v="8.6300000000000008"/>
    <n v="0.64"/>
    <n v="1"/>
    <n v="6"/>
    <x v="6"/>
  </r>
  <r>
    <x v="239"/>
    <d v="1899-12-30T05:39:12"/>
    <d v="1899-12-30T19:35:18"/>
    <n v="0"/>
    <n v="18.010000000000002"/>
    <n v="10.67"/>
    <n v="2.95"/>
    <n v="1"/>
    <n v="7"/>
    <x v="6"/>
  </r>
  <r>
    <x v="240"/>
    <d v="1899-12-30T05:40:51"/>
    <d v="1899-12-30T19:33:03"/>
    <n v="0"/>
    <n v="19.48"/>
    <n v="12.16"/>
    <n v="3.2"/>
    <n v="1"/>
    <n v="8"/>
    <x v="6"/>
  </r>
  <r>
    <x v="241"/>
    <d v="1899-12-30T05:42:30"/>
    <d v="1899-12-30T19:30:47"/>
    <n v="0"/>
    <n v="18.11"/>
    <n v="11.38"/>
    <n v="2.91"/>
    <n v="1"/>
    <n v="9"/>
    <x v="6"/>
  </r>
  <r>
    <x v="242"/>
    <d v="1899-12-30T05:44:09"/>
    <d v="1899-12-30T19:28:31"/>
    <n v="0"/>
    <n v="17.559999999999999"/>
    <n v="9.49"/>
    <n v="0.94"/>
    <n v="1"/>
    <n v="10"/>
    <x v="6"/>
  </r>
  <r>
    <x v="243"/>
    <d v="1899-12-30T05:45:48"/>
    <d v="1899-12-30T19:26:15"/>
    <n v="0"/>
    <n v="16.809999999999999"/>
    <n v="9.4600000000000009"/>
    <n v="2.19"/>
    <n v="1"/>
    <n v="11"/>
    <x v="6"/>
  </r>
  <r>
    <x v="244"/>
    <d v="1899-12-30T05:47:26"/>
    <d v="1899-12-30T19:23:57"/>
    <n v="0"/>
    <n v="15.05"/>
    <n v="9.31"/>
    <n v="3.95"/>
    <n v="1"/>
    <n v="12"/>
    <x v="6"/>
  </r>
  <r>
    <x v="245"/>
    <d v="1899-12-30T05:49:05"/>
    <d v="1899-12-30T19:21:40"/>
    <n v="0"/>
    <n v="14.3"/>
    <n v="8.69"/>
    <n v="4.6900000000000004"/>
    <n v="1"/>
    <n v="13"/>
    <x v="6"/>
  </r>
  <r>
    <x v="246"/>
    <d v="1899-12-30T05:50:44"/>
    <d v="1899-12-30T19:19:21"/>
    <n v="0"/>
    <n v="19.399999999999999"/>
    <n v="10.84"/>
    <n v="0.84"/>
    <n v="1"/>
    <n v="14"/>
    <x v="6"/>
  </r>
  <r>
    <x v="247"/>
    <d v="1899-12-30T05:52:22"/>
    <d v="1899-12-30T19:17:03"/>
    <n v="1"/>
    <n v="14.15"/>
    <n v="8.94"/>
    <n v="3.18"/>
    <n v="0"/>
    <n v="0"/>
    <x v="6"/>
  </r>
  <r>
    <x v="248"/>
    <d v="1899-12-30T05:54:01"/>
    <d v="1899-12-30T19:14:44"/>
    <n v="2"/>
    <n v="10.199999999999999"/>
    <n v="6.94"/>
    <n v="1.89"/>
    <n v="0"/>
    <n v="0"/>
    <x v="6"/>
  </r>
  <r>
    <x v="249"/>
    <d v="1899-12-30T05:55:40"/>
    <d v="1899-12-30T19:12:24"/>
    <n v="0"/>
    <n v="19.149999999999999"/>
    <n v="12.22"/>
    <n v="2.98"/>
    <n v="1"/>
    <n v="1"/>
    <x v="6"/>
  </r>
  <r>
    <x v="250"/>
    <d v="1899-12-30T05:57:18"/>
    <d v="1899-12-30T19:10:04"/>
    <n v="0"/>
    <n v="16.739999999999998"/>
    <n v="9.15"/>
    <n v="3.48"/>
    <n v="1"/>
    <n v="2"/>
    <x v="6"/>
  </r>
  <r>
    <x v="251"/>
    <d v="1899-12-30T05:58:57"/>
    <d v="1899-12-30T19:07:44"/>
    <n v="1"/>
    <n v="12.97"/>
    <n v="7.63"/>
    <n v="2.59"/>
    <n v="0"/>
    <n v="0"/>
    <x v="6"/>
  </r>
  <r>
    <x v="252"/>
    <d v="1899-12-30T06:00:36"/>
    <d v="1899-12-30T19:05:24"/>
    <n v="0"/>
    <n v="19.690000000000001"/>
    <n v="11.67"/>
    <n v="1.86"/>
    <n v="1"/>
    <n v="1"/>
    <x v="6"/>
  </r>
  <r>
    <x v="253"/>
    <d v="1899-12-30T06:02:14"/>
    <d v="1899-12-30T19:03:03"/>
    <n v="1"/>
    <n v="15.77"/>
    <n v="9.66"/>
    <n v="0.95"/>
    <n v="0"/>
    <n v="0"/>
    <x v="6"/>
  </r>
  <r>
    <x v="254"/>
    <d v="1899-12-30T06:03:53"/>
    <d v="1899-12-30T19:00:42"/>
    <n v="1"/>
    <n v="13.48"/>
    <n v="8.56"/>
    <n v="2.94"/>
    <n v="1"/>
    <n v="1"/>
    <x v="5"/>
  </r>
  <r>
    <x v="255"/>
    <d v="1899-12-30T06:05:31"/>
    <d v="1899-12-30T18:58:21"/>
    <n v="1"/>
    <n v="14.44"/>
    <n v="9.48"/>
    <n v="2.84"/>
    <n v="1"/>
    <n v="2"/>
    <x v="5"/>
  </r>
  <r>
    <x v="256"/>
    <d v="1899-12-30T06:07:10"/>
    <d v="1899-12-30T18:55:59"/>
    <n v="0"/>
    <n v="15.61"/>
    <n v="8.7799999999999994"/>
    <n v="4.95"/>
    <n v="1"/>
    <n v="3"/>
    <x v="5"/>
  </r>
  <r>
    <x v="257"/>
    <d v="1899-12-30T06:08:49"/>
    <d v="1899-12-30T18:53:38"/>
    <n v="0"/>
    <n v="18"/>
    <n v="9.9700000000000006"/>
    <n v="3.65"/>
    <n v="1"/>
    <n v="4"/>
    <x v="5"/>
  </r>
  <r>
    <x v="258"/>
    <d v="1899-12-30T06:10:27"/>
    <d v="1899-12-30T18:51:16"/>
    <n v="3"/>
    <n v="9.7799999999999994"/>
    <n v="6.88"/>
    <n v="4.9800000000000004"/>
    <n v="0"/>
    <n v="0"/>
    <x v="5"/>
  </r>
  <r>
    <x v="259"/>
    <d v="1899-12-30T06:12:06"/>
    <d v="1899-12-30T18:48:55"/>
    <n v="1"/>
    <n v="13.43"/>
    <n v="8.9700000000000006"/>
    <n v="3.24"/>
    <n v="1"/>
    <n v="1"/>
    <x v="5"/>
  </r>
  <r>
    <x v="260"/>
    <d v="1899-12-30T06:13:45"/>
    <d v="1899-12-30T18:46:33"/>
    <n v="1"/>
    <n v="12.57"/>
    <n v="8.44"/>
    <n v="3.16"/>
    <n v="1"/>
    <n v="2"/>
    <x v="5"/>
  </r>
  <r>
    <x v="261"/>
    <d v="1899-12-30T06:15:24"/>
    <d v="1899-12-30T18:44:11"/>
    <n v="2"/>
    <n v="10.44"/>
    <n v="7.84"/>
    <n v="2.48"/>
    <n v="0"/>
    <n v="0"/>
    <x v="5"/>
  </r>
  <r>
    <x v="262"/>
    <d v="1899-12-30T06:17:03"/>
    <d v="1899-12-30T18:41:49"/>
    <n v="0"/>
    <n v="14.53"/>
    <n v="5.65"/>
    <n v="2.94"/>
    <n v="1"/>
    <n v="1"/>
    <x v="5"/>
  </r>
  <r>
    <x v="263"/>
    <d v="1899-12-30T06:18:42"/>
    <d v="1899-12-30T18:39:28"/>
    <n v="0"/>
    <n v="14.84"/>
    <n v="5.95"/>
    <n v="1.9"/>
    <n v="1"/>
    <n v="2"/>
    <x v="5"/>
  </r>
  <r>
    <x v="264"/>
    <d v="1899-12-30T06:20:22"/>
    <d v="1899-12-30T18:37:06"/>
    <n v="0"/>
    <n v="16.510000000000002"/>
    <n v="7.84"/>
    <n v="0.84"/>
    <n v="1"/>
    <n v="3"/>
    <x v="5"/>
  </r>
  <r>
    <x v="265"/>
    <d v="1899-12-30T06:22:01"/>
    <d v="1899-12-30T18:34:44"/>
    <n v="0"/>
    <n v="12.03"/>
    <n v="6.37"/>
    <n v="5.4"/>
    <n v="1"/>
    <n v="4"/>
    <x v="5"/>
  </r>
  <r>
    <x v="266"/>
    <d v="1899-12-30T06:23:40"/>
    <d v="1899-12-30T18:32:23"/>
    <n v="0"/>
    <n v="15.85"/>
    <n v="6.64"/>
    <n v="2.69"/>
    <n v="1"/>
    <n v="5"/>
    <x v="5"/>
  </r>
  <r>
    <x v="267"/>
    <d v="1899-12-30T06:25:20"/>
    <d v="1899-12-30T18:30:01"/>
    <n v="0"/>
    <n v="18.45"/>
    <n v="8.5399999999999991"/>
    <n v="1.02"/>
    <n v="1"/>
    <n v="6"/>
    <x v="5"/>
  </r>
  <r>
    <x v="268"/>
    <d v="1899-12-30T06:27:00"/>
    <d v="1899-12-30T18:27:40"/>
    <n v="1"/>
    <n v="11.93"/>
    <n v="7.93"/>
    <n v="3.04"/>
    <n v="0"/>
    <n v="0"/>
    <x v="5"/>
  </r>
  <r>
    <x v="269"/>
    <d v="1899-12-30T06:28:40"/>
    <d v="1899-12-30T18:25:19"/>
    <n v="0"/>
    <n v="13.34"/>
    <n v="8.39"/>
    <n v="2.84"/>
    <n v="1"/>
    <n v="1"/>
    <x v="4"/>
  </r>
  <r>
    <x v="270"/>
    <d v="1899-12-30T06:30:20"/>
    <d v="1899-12-30T18:22:59"/>
    <n v="0"/>
    <n v="13.66"/>
    <n v="7.55"/>
    <n v="2.14"/>
    <n v="1"/>
    <n v="2"/>
    <x v="4"/>
  </r>
  <r>
    <x v="271"/>
    <d v="1899-12-30T06:32:01"/>
    <d v="1899-12-30T18:20:38"/>
    <n v="2"/>
    <n v="9.33"/>
    <n v="5.86"/>
    <n v="2.19"/>
    <n v="0"/>
    <n v="0"/>
    <x v="4"/>
  </r>
  <r>
    <x v="272"/>
    <d v="1899-12-30T06:33:41"/>
    <d v="1899-12-30T18:18:18"/>
    <n v="0"/>
    <n v="12.98"/>
    <n v="6.32"/>
    <n v="3.02"/>
    <n v="1"/>
    <n v="1"/>
    <x v="4"/>
  </r>
  <r>
    <x v="273"/>
    <d v="1899-12-30T06:35:22"/>
    <d v="1899-12-30T18:15:58"/>
    <n v="3"/>
    <n v="6.6"/>
    <n v="5.68"/>
    <n v="4.16"/>
    <n v="0"/>
    <n v="0"/>
    <x v="4"/>
  </r>
  <r>
    <x v="274"/>
    <d v="1899-12-30T06:37:03"/>
    <d v="1899-12-30T18:13:39"/>
    <n v="2"/>
    <n v="8.07"/>
    <n v="6.79"/>
    <n v="5.03"/>
    <n v="1"/>
    <n v="1"/>
    <x v="4"/>
  </r>
  <r>
    <x v="275"/>
    <d v="1899-12-30T06:38:44"/>
    <d v="1899-12-30T18:11:20"/>
    <n v="4"/>
    <n v="4.42"/>
    <n v="3.32"/>
    <n v="3.56"/>
    <n v="0"/>
    <n v="0"/>
    <x v="4"/>
  </r>
  <r>
    <x v="276"/>
    <d v="1899-12-30T06:40:26"/>
    <d v="1899-12-30T18:09:01"/>
    <n v="4"/>
    <n v="4.3899999999999997"/>
    <n v="1.26"/>
    <n v="1.19"/>
    <n v="1"/>
    <n v="1"/>
    <x v="4"/>
  </r>
  <r>
    <x v="277"/>
    <d v="1899-12-30T06:42:08"/>
    <d v="1899-12-30T18:06:43"/>
    <n v="4"/>
    <n v="5.07"/>
    <n v="2.68"/>
    <n v="2.14"/>
    <n v="1"/>
    <n v="2"/>
    <x v="4"/>
  </r>
  <r>
    <x v="278"/>
    <d v="1899-12-30T06:43:50"/>
    <d v="1899-12-30T18:04:25"/>
    <n v="4"/>
    <n v="5.66"/>
    <n v="3.96"/>
    <n v="2.1800000000000002"/>
    <n v="1"/>
    <n v="3"/>
    <x v="4"/>
  </r>
  <r>
    <x v="279"/>
    <d v="1899-12-30T06:45:32"/>
    <d v="1899-12-30T18:02:08"/>
    <n v="4"/>
    <n v="5.19"/>
    <n v="3.12"/>
    <n v="4.0599999999999996"/>
    <n v="1"/>
    <n v="4"/>
    <x v="4"/>
  </r>
  <r>
    <x v="280"/>
    <d v="1899-12-30T06:47:15"/>
    <d v="1899-12-30T17:59:51"/>
    <n v="7"/>
    <n v="3.5"/>
    <n v="1.65"/>
    <n v="4.26"/>
    <n v="0"/>
    <n v="0"/>
    <x v="4"/>
  </r>
  <r>
    <x v="281"/>
    <d v="1899-12-30T06:48:57"/>
    <d v="1899-12-30T17:57:35"/>
    <n v="1"/>
    <n v="9.49"/>
    <n v="4.95"/>
    <n v="2.89"/>
    <n v="1"/>
    <n v="1"/>
    <x v="4"/>
  </r>
  <r>
    <x v="282"/>
    <d v="1899-12-30T06:50:41"/>
    <d v="1899-12-30T17:55:20"/>
    <n v="3"/>
    <n v="6.48"/>
    <n v="4.8499999999999996"/>
    <n v="3.41"/>
    <n v="0"/>
    <n v="0"/>
    <x v="4"/>
  </r>
  <r>
    <x v="283"/>
    <d v="1899-12-30T06:52:24"/>
    <d v="1899-12-30T17:53:05"/>
    <n v="3"/>
    <n v="5.86"/>
    <n v="4.97"/>
    <n v="4.0199999999999996"/>
    <n v="1"/>
    <n v="1"/>
    <x v="4"/>
  </r>
  <r>
    <x v="284"/>
    <d v="1899-12-30T06:54:08"/>
    <d v="1899-12-30T17:50:51"/>
    <n v="3"/>
    <n v="5.92"/>
    <n v="4.3600000000000003"/>
    <n v="2.68"/>
    <n v="1"/>
    <n v="2"/>
    <x v="3"/>
  </r>
  <r>
    <x v="285"/>
    <d v="1899-12-30T06:55:52"/>
    <d v="1899-12-30T17:48:37"/>
    <n v="5"/>
    <n v="3.69"/>
    <n v="1.58"/>
    <n v="2.4300000000000002"/>
    <n v="0"/>
    <n v="0"/>
    <x v="3"/>
  </r>
  <r>
    <x v="286"/>
    <d v="1899-12-30T06:57:36"/>
    <d v="1899-12-30T17:46:25"/>
    <n v="1"/>
    <n v="8.8800000000000008"/>
    <n v="3.95"/>
    <n v="2.44"/>
    <n v="1"/>
    <n v="1"/>
    <x v="3"/>
  </r>
  <r>
    <x v="287"/>
    <d v="1899-12-30T06:59:21"/>
    <d v="1899-12-30T17:44:13"/>
    <n v="1"/>
    <n v="8.56"/>
    <n v="2.86"/>
    <n v="1.61"/>
    <n v="1"/>
    <n v="2"/>
    <x v="3"/>
  </r>
  <r>
    <x v="288"/>
    <d v="1899-12-30T07:01:06"/>
    <d v="1899-12-30T17:42:02"/>
    <n v="0"/>
    <n v="14.7"/>
    <n v="5.42"/>
    <n v="2.48"/>
    <n v="1"/>
    <n v="3"/>
    <x v="3"/>
  </r>
  <r>
    <x v="289"/>
    <d v="1899-12-30T07:02:51"/>
    <d v="1899-12-30T17:39:52"/>
    <n v="1"/>
    <n v="11.59"/>
    <n v="6.72"/>
    <n v="2.4700000000000002"/>
    <n v="0"/>
    <n v="0"/>
    <x v="3"/>
  </r>
  <r>
    <x v="290"/>
    <d v="1899-12-30T07:04:36"/>
    <d v="1899-12-30T17:37:42"/>
    <n v="6"/>
    <n v="3.26"/>
    <n v="1.96"/>
    <n v="3.14"/>
    <n v="0"/>
    <n v="0"/>
    <x v="3"/>
  </r>
  <r>
    <x v="291"/>
    <d v="1899-12-30T07:06:22"/>
    <d v="1899-12-30T17:35:34"/>
    <n v="4"/>
    <n v="4.9000000000000004"/>
    <n v="1.87"/>
    <n v="3.61"/>
    <n v="1"/>
    <n v="1"/>
    <x v="3"/>
  </r>
  <r>
    <x v="292"/>
    <d v="1899-12-30T07:08:08"/>
    <d v="1899-12-30T17:33:27"/>
    <n v="1"/>
    <n v="9.3800000000000008"/>
    <n v="5.46"/>
    <n v="3.45"/>
    <n v="1"/>
    <n v="2"/>
    <x v="3"/>
  </r>
  <r>
    <x v="293"/>
    <d v="1899-12-30T07:09:55"/>
    <d v="1899-12-30T17:31:20"/>
    <n v="3"/>
    <n v="5.29"/>
    <n v="3.94"/>
    <n v="3.48"/>
    <n v="0"/>
    <n v="0"/>
    <x v="3"/>
  </r>
  <r>
    <x v="294"/>
    <d v="1899-12-30T07:11:41"/>
    <d v="1899-12-30T17:29:15"/>
    <n v="0"/>
    <n v="13.23"/>
    <n v="6.74"/>
    <n v="2.69"/>
    <n v="1"/>
    <n v="1"/>
    <x v="3"/>
  </r>
  <r>
    <x v="295"/>
    <d v="1899-12-30T07:13:28"/>
    <d v="1899-12-30T17:27:11"/>
    <n v="7"/>
    <n v="3.97"/>
    <n v="1.64"/>
    <n v="4.84"/>
    <n v="0"/>
    <n v="0"/>
    <x v="3"/>
  </r>
  <r>
    <x v="296"/>
    <d v="1899-12-30T07:15:15"/>
    <d v="1899-12-30T17:25:08"/>
    <n v="0"/>
    <n v="12.38"/>
    <n v="6.35"/>
    <n v="3.66"/>
    <n v="1"/>
    <n v="1"/>
    <x v="3"/>
  </r>
  <r>
    <x v="297"/>
    <d v="1899-12-30T07:17:02"/>
    <d v="1899-12-30T17:23:06"/>
    <n v="4"/>
    <n v="4.58"/>
    <n v="2.5299999999999998"/>
    <n v="4.57"/>
    <n v="0"/>
    <n v="0"/>
    <x v="3"/>
  </r>
  <r>
    <x v="298"/>
    <d v="1899-12-30T07:18:50"/>
    <d v="1899-12-30T17:21:06"/>
    <n v="6"/>
    <n v="2.06"/>
    <n v="1.06"/>
    <n v="3.84"/>
    <n v="0"/>
    <n v="0"/>
    <x v="3"/>
  </r>
  <r>
    <x v="299"/>
    <d v="1899-12-30T07:20:38"/>
    <d v="1899-12-30T17:19:06"/>
    <n v="1"/>
    <n v="8.7799999999999994"/>
    <n v="2.09"/>
    <n v="1.58"/>
    <n v="1"/>
    <n v="1"/>
    <x v="2"/>
  </r>
  <r>
    <x v="300"/>
    <d v="1899-12-30T07:22:26"/>
    <d v="1899-12-30T17:17:08"/>
    <n v="1"/>
    <n v="8.06"/>
    <n v="1.98"/>
    <n v="1.08"/>
    <n v="1"/>
    <n v="2"/>
    <x v="2"/>
  </r>
  <r>
    <x v="301"/>
    <d v="1899-12-30T07:24:14"/>
    <d v="1899-12-30T17:15:12"/>
    <n v="4"/>
    <n v="4.7300000000000004"/>
    <n v="3.79"/>
    <n v="3.08"/>
    <n v="0"/>
    <n v="0"/>
    <x v="2"/>
  </r>
  <r>
    <x v="302"/>
    <d v="1899-12-30T06:26:02"/>
    <d v="1899-12-30T16:13:16"/>
    <n v="3"/>
    <n v="5.33"/>
    <n v="2.98"/>
    <n v="3.05"/>
    <n v="1"/>
    <n v="1"/>
    <x v="2"/>
  </r>
  <r>
    <x v="303"/>
    <d v="1899-12-30T06:27:50"/>
    <d v="1899-12-30T16:11:23"/>
    <n v="6"/>
    <n v="2.13"/>
    <n v="1.67"/>
    <n v="4.21"/>
    <n v="0"/>
    <n v="0"/>
    <x v="2"/>
  </r>
  <r>
    <x v="304"/>
    <d v="1899-12-30T06:29:38"/>
    <d v="1899-12-30T16:09:31"/>
    <n v="8"/>
    <n v="1.23"/>
    <n v="0.56999999999999995"/>
    <n v="5.08"/>
    <n v="0"/>
    <n v="0"/>
    <x v="2"/>
  </r>
  <r>
    <x v="305"/>
    <d v="1899-12-30T06:31:27"/>
    <d v="1899-12-30T16:07:40"/>
    <n v="3"/>
    <n v="5.84"/>
    <n v="4.32"/>
    <n v="2.95"/>
    <n v="1"/>
    <n v="1"/>
    <x v="2"/>
  </r>
  <r>
    <x v="306"/>
    <d v="1899-12-30T06:33:15"/>
    <d v="1899-12-30T16:05:51"/>
    <n v="3"/>
    <n v="4.55"/>
    <n v="3.94"/>
    <n v="6.57"/>
    <n v="1"/>
    <n v="2"/>
    <x v="2"/>
  </r>
  <r>
    <x v="307"/>
    <d v="1899-12-30T06:35:03"/>
    <d v="1899-12-30T16:04:03"/>
    <n v="3"/>
    <n v="4.7"/>
    <n v="3.64"/>
    <n v="4.21"/>
    <n v="1"/>
    <n v="3"/>
    <x v="2"/>
  </r>
  <r>
    <x v="308"/>
    <d v="1899-12-30T06:36:52"/>
    <d v="1899-12-30T16:02:18"/>
    <n v="2"/>
    <n v="5.19"/>
    <n v="3.65"/>
    <n v="5.32"/>
    <n v="1"/>
    <n v="4"/>
    <x v="2"/>
  </r>
  <r>
    <x v="309"/>
    <d v="1899-12-30T06:38:40"/>
    <d v="1899-12-30T16:00:34"/>
    <n v="1"/>
    <n v="7.75"/>
    <n v="3.84"/>
    <n v="3.65"/>
    <n v="1"/>
    <n v="5"/>
    <x v="2"/>
  </r>
  <r>
    <x v="310"/>
    <d v="1899-12-30T06:40:28"/>
    <d v="1899-12-30T15:58:52"/>
    <n v="4"/>
    <n v="4.07"/>
    <n v="3.21"/>
    <n v="3.48"/>
    <n v="0"/>
    <n v="0"/>
    <x v="2"/>
  </r>
  <r>
    <x v="311"/>
    <d v="1899-12-30T06:42:16"/>
    <d v="1899-12-30T15:57:11"/>
    <n v="3"/>
    <n v="5.63"/>
    <n v="4.2300000000000004"/>
    <n v="4.6100000000000003"/>
    <n v="1"/>
    <n v="1"/>
    <x v="2"/>
  </r>
  <r>
    <x v="312"/>
    <d v="1899-12-30T06:44:03"/>
    <d v="1899-12-30T15:55:33"/>
    <n v="6"/>
    <n v="3.14"/>
    <n v="1.65"/>
    <n v="2.96"/>
    <n v="0"/>
    <n v="0"/>
    <x v="2"/>
  </r>
  <r>
    <x v="313"/>
    <d v="1899-12-30T06:45:51"/>
    <d v="1899-12-30T15:53:57"/>
    <n v="0"/>
    <n v="11.93"/>
    <n v="6.46"/>
    <n v="4.0599999999999996"/>
    <n v="1"/>
    <n v="1"/>
    <x v="2"/>
  </r>
  <r>
    <x v="314"/>
    <d v="1899-12-30T06:47:38"/>
    <d v="1899-12-30T15:52:22"/>
    <n v="4"/>
    <n v="5.15"/>
    <n v="2.4900000000000002"/>
    <n v="3.84"/>
    <n v="0"/>
    <n v="0"/>
    <x v="2"/>
  </r>
  <r>
    <x v="315"/>
    <d v="1899-12-30T06:49:24"/>
    <d v="1899-12-30T15:50:50"/>
    <n v="3"/>
    <n v="4.75"/>
    <n v="3.49"/>
    <n v="5.09"/>
    <n v="1"/>
    <n v="1"/>
    <x v="2"/>
  </r>
  <r>
    <x v="316"/>
    <d v="1899-12-30T06:51:11"/>
    <d v="1899-12-30T15:49:20"/>
    <n v="3"/>
    <n v="4.16"/>
    <n v="3.02"/>
    <n v="4.1900000000000004"/>
    <n v="1"/>
    <n v="2"/>
    <x v="1"/>
  </r>
  <r>
    <x v="317"/>
    <d v="1899-12-30T06:52:56"/>
    <d v="1899-12-30T15:47:52"/>
    <n v="2"/>
    <n v="5.19"/>
    <n v="2.94"/>
    <n v="4.9400000000000004"/>
    <n v="1"/>
    <n v="3"/>
    <x v="1"/>
  </r>
  <r>
    <x v="318"/>
    <d v="1899-12-30T06:54:41"/>
    <d v="1899-12-30T15:46:27"/>
    <n v="8"/>
    <n v="1.38"/>
    <n v="0.4"/>
    <n v="6.48"/>
    <n v="0"/>
    <n v="0"/>
    <x v="1"/>
  </r>
  <r>
    <x v="319"/>
    <d v="1899-12-30T06:56:26"/>
    <d v="1899-12-30T15:45:03"/>
    <n v="8"/>
    <n v="1.53"/>
    <n v="0.23"/>
    <n v="3.95"/>
    <n v="1"/>
    <n v="1"/>
    <x v="1"/>
  </r>
  <r>
    <x v="320"/>
    <d v="1899-12-30T06:58:09"/>
    <d v="1899-12-30T15:43:42"/>
    <n v="2"/>
    <n v="4.1900000000000004"/>
    <n v="1.92"/>
    <n v="3.24"/>
    <n v="1"/>
    <n v="2"/>
    <x v="1"/>
  </r>
  <r>
    <x v="321"/>
    <d v="1899-12-30T06:59:52"/>
    <d v="1899-12-30T15:42:24"/>
    <n v="5"/>
    <n v="3.63"/>
    <n v="1.48"/>
    <n v="2.96"/>
    <n v="0"/>
    <n v="0"/>
    <x v="1"/>
  </r>
  <r>
    <x v="322"/>
    <d v="1899-12-30T07:01:35"/>
    <d v="1899-12-30T15:41:08"/>
    <n v="5"/>
    <n v="3.6"/>
    <n v="2.06"/>
    <n v="2.72"/>
    <n v="1"/>
    <n v="1"/>
    <x v="1"/>
  </r>
  <r>
    <x v="323"/>
    <d v="1899-12-30T07:03:16"/>
    <d v="1899-12-30T15:39:54"/>
    <n v="2"/>
    <n v="6.14"/>
    <n v="5.07"/>
    <n v="3.94"/>
    <n v="1"/>
    <n v="2"/>
    <x v="1"/>
  </r>
  <r>
    <x v="324"/>
    <d v="1899-12-30T07:04:56"/>
    <d v="1899-12-30T15:38:43"/>
    <n v="5"/>
    <n v="3.16"/>
    <n v="2.11"/>
    <n v="4.08"/>
    <n v="0"/>
    <n v="0"/>
    <x v="1"/>
  </r>
  <r>
    <x v="325"/>
    <d v="1899-12-30T07:06:35"/>
    <d v="1899-12-30T15:37:35"/>
    <n v="4"/>
    <n v="4.0999999999999996"/>
    <n v="3.41"/>
    <n v="4.6100000000000003"/>
    <n v="1"/>
    <n v="1"/>
    <x v="1"/>
  </r>
  <r>
    <x v="326"/>
    <d v="1899-12-30T07:08:13"/>
    <d v="1899-12-30T15:36:30"/>
    <n v="7"/>
    <n v="2.91"/>
    <n v="1.06"/>
    <n v="5.07"/>
    <n v="0"/>
    <n v="0"/>
    <x v="1"/>
  </r>
  <r>
    <x v="327"/>
    <d v="1899-12-30T07:09:50"/>
    <d v="1899-12-30T15:35:27"/>
    <n v="6"/>
    <n v="3.18"/>
    <n v="1.37"/>
    <n v="4.16"/>
    <n v="1"/>
    <n v="1"/>
    <x v="1"/>
  </r>
  <r>
    <x v="328"/>
    <d v="1899-12-30T07:11:26"/>
    <d v="1899-12-30T15:34:27"/>
    <n v="7"/>
    <n v="2.52"/>
    <n v="1.46"/>
    <n v="5.24"/>
    <n v="0"/>
    <n v="0"/>
    <x v="1"/>
  </r>
  <r>
    <x v="329"/>
    <d v="1899-12-30T07:13:00"/>
    <d v="1899-12-30T15:33:30"/>
    <n v="6"/>
    <n v="3.85"/>
    <n v="1.1599999999999999"/>
    <n v="6.08"/>
    <n v="1"/>
    <n v="1"/>
    <x v="1"/>
  </r>
  <r>
    <x v="330"/>
    <d v="1899-12-30T07:14:33"/>
    <d v="1899-12-30T15:32:36"/>
    <n v="8"/>
    <n v="1.84"/>
    <n v="0.47"/>
    <n v="4.66"/>
    <n v="0"/>
    <n v="0"/>
    <x v="1"/>
  </r>
  <r>
    <x v="331"/>
    <d v="1899-12-30T07:16:04"/>
    <d v="1899-12-30T15:31:45"/>
    <n v="8"/>
    <n v="1.59"/>
    <n v="0.42"/>
    <n v="4.9800000000000004"/>
    <n v="1"/>
    <n v="1"/>
    <x v="1"/>
  </r>
  <r>
    <x v="332"/>
    <d v="1899-12-30T07:17:33"/>
    <d v="1899-12-30T15:30:57"/>
    <n v="8"/>
    <n v="1.34"/>
    <n v="0.27"/>
    <n v="3.95"/>
    <n v="1"/>
    <n v="2"/>
    <x v="1"/>
  </r>
  <r>
    <x v="333"/>
    <d v="1899-12-30T07:19:01"/>
    <d v="1899-12-30T15:30:12"/>
    <n v="8"/>
    <n v="1.1399999999999999"/>
    <n v="0"/>
    <n v="7.02"/>
    <n v="1"/>
    <n v="3"/>
    <x v="1"/>
  </r>
  <r>
    <x v="334"/>
    <d v="1899-12-30T07:20:27"/>
    <d v="1899-12-30T15:29:31"/>
    <n v="7"/>
    <n v="2.4900000000000002"/>
    <n v="1.06"/>
    <n v="6.09"/>
    <n v="1"/>
    <n v="4"/>
    <x v="1"/>
  </r>
  <r>
    <x v="335"/>
    <d v="1899-12-30T07:21:51"/>
    <d v="1899-12-30T15:28:52"/>
    <n v="6"/>
    <n v="2.37"/>
    <n v="1.6"/>
    <n v="5.87"/>
    <n v="1"/>
    <n v="5"/>
    <x v="1"/>
  </r>
  <r>
    <x v="336"/>
    <d v="1899-12-30T07:23:13"/>
    <d v="1899-12-30T15:28:17"/>
    <n v="5"/>
    <n v="3.36"/>
    <n v="2.41"/>
    <n v="4.95"/>
    <n v="1"/>
    <n v="6"/>
    <x v="1"/>
  </r>
  <r>
    <x v="337"/>
    <d v="1899-12-30T07:24:33"/>
    <d v="1899-12-30T15:27:44"/>
    <n v="8"/>
    <n v="1.32"/>
    <n v="0.54"/>
    <n v="5.16"/>
    <n v="0"/>
    <n v="0"/>
    <x v="1"/>
  </r>
  <r>
    <x v="338"/>
    <d v="1899-12-30T07:25:51"/>
    <d v="1899-12-30T15:27:16"/>
    <n v="7"/>
    <n v="2.48"/>
    <n v="0.49"/>
    <n v="5.04"/>
    <n v="1"/>
    <n v="1"/>
    <x v="1"/>
  </r>
  <r>
    <x v="339"/>
    <d v="1899-12-30T07:27:07"/>
    <d v="1899-12-30T15:26:50"/>
    <n v="7"/>
    <n v="2.2000000000000002"/>
    <n v="0.61"/>
    <n v="4.92"/>
    <n v="1"/>
    <n v="2"/>
    <x v="0"/>
  </r>
  <r>
    <x v="340"/>
    <d v="1899-12-30T07:28:20"/>
    <d v="1899-12-30T15:26:28"/>
    <n v="7"/>
    <n v="2.87"/>
    <n v="0.35"/>
    <n v="5.03"/>
    <n v="1"/>
    <n v="3"/>
    <x v="0"/>
  </r>
  <r>
    <x v="341"/>
    <d v="1899-12-30T07:29:31"/>
    <d v="1899-12-30T15:26:10"/>
    <n v="7"/>
    <n v="2.8"/>
    <n v="1.24"/>
    <n v="4.29"/>
    <n v="1"/>
    <n v="4"/>
    <x v="0"/>
  </r>
  <r>
    <x v="342"/>
    <d v="1899-12-30T07:30:39"/>
    <d v="1899-12-30T15:25:54"/>
    <n v="6"/>
    <n v="2.95"/>
    <n v="1.42"/>
    <n v="4.25"/>
    <n v="1"/>
    <n v="5"/>
    <x v="0"/>
  </r>
  <r>
    <x v="343"/>
    <d v="1899-12-30T07:31:45"/>
    <d v="1899-12-30T15:25:43"/>
    <n v="6"/>
    <n v="3.38"/>
    <n v="1.66"/>
    <n v="5.07"/>
    <n v="1"/>
    <n v="6"/>
    <x v="0"/>
  </r>
  <r>
    <x v="344"/>
    <d v="1899-12-30T07:32:48"/>
    <d v="1899-12-30T15:25:34"/>
    <n v="7"/>
    <n v="2.11"/>
    <n v="0.84"/>
    <n v="5.38"/>
    <n v="0"/>
    <n v="0"/>
    <x v="0"/>
  </r>
  <r>
    <x v="345"/>
    <d v="1899-12-30T07:33:49"/>
    <d v="1899-12-30T15:25:29"/>
    <n v="8"/>
    <n v="1.31"/>
    <n v="0.05"/>
    <n v="6.3"/>
    <n v="0"/>
    <n v="0"/>
    <x v="0"/>
  </r>
  <r>
    <x v="346"/>
    <d v="1899-12-30T07:34:46"/>
    <d v="1899-12-30T15:25:28"/>
    <n v="7"/>
    <n v="2.0299999999999998"/>
    <n v="1.02"/>
    <n v="6.12"/>
    <n v="1"/>
    <n v="1"/>
    <x v="0"/>
  </r>
  <r>
    <x v="347"/>
    <d v="1899-12-30T07:35:41"/>
    <d v="1899-12-30T15:25:30"/>
    <n v="8"/>
    <n v="1.5"/>
    <n v="0.14000000000000001"/>
    <n v="6.01"/>
    <n v="0"/>
    <n v="0"/>
    <x v="0"/>
  </r>
  <r>
    <x v="348"/>
    <d v="1899-12-30T07:36:33"/>
    <d v="1899-12-30T15:25:36"/>
    <n v="5"/>
    <n v="3.8"/>
    <n v="0.24"/>
    <n v="4.92"/>
    <n v="1"/>
    <n v="1"/>
    <x v="0"/>
  </r>
  <r>
    <x v="349"/>
    <d v="1899-12-30T07:37:22"/>
    <d v="1899-12-30T15:25:45"/>
    <n v="7"/>
    <n v="2.11"/>
    <n v="0.6"/>
    <n v="4.95"/>
    <n v="0"/>
    <n v="0"/>
    <x v="0"/>
  </r>
  <r>
    <x v="350"/>
    <d v="1899-12-30T07:38:07"/>
    <d v="1899-12-30T15:25:58"/>
    <n v="7"/>
    <n v="2.2200000000000002"/>
    <n v="0.95"/>
    <n v="6.02"/>
    <n v="1"/>
    <n v="1"/>
    <x v="0"/>
  </r>
  <r>
    <x v="351"/>
    <d v="1899-12-30T07:38:50"/>
    <d v="1899-12-30T15:26:14"/>
    <n v="7"/>
    <n v="2.82"/>
    <n v="0.3"/>
    <n v="4.6500000000000004"/>
    <n v="1"/>
    <n v="2"/>
    <x v="0"/>
  </r>
  <r>
    <x v="352"/>
    <d v="1899-12-30T07:39:30"/>
    <d v="1899-12-30T15:26:34"/>
    <n v="8"/>
    <n v="1.25"/>
    <n v="0.32"/>
    <n v="6.04"/>
    <n v="0"/>
    <n v="0"/>
    <x v="0"/>
  </r>
  <r>
    <x v="353"/>
    <d v="1899-12-30T07:40:06"/>
    <d v="1899-12-30T15:26:57"/>
    <n v="8"/>
    <n v="1.55"/>
    <n v="0.12"/>
    <n v="4.43"/>
    <n v="1"/>
    <n v="1"/>
    <x v="0"/>
  </r>
  <r>
    <x v="354"/>
    <d v="1899-12-30T07:40:39"/>
    <d v="1899-12-30T15:27:24"/>
    <n v="8"/>
    <n v="1.77"/>
    <n v="0.14000000000000001"/>
    <n v="6.21"/>
    <n v="1"/>
    <n v="2"/>
    <x v="0"/>
  </r>
  <r>
    <x v="355"/>
    <d v="1899-12-30T07:41:08"/>
    <d v="1899-12-30T15:27:54"/>
    <n v="8"/>
    <n v="1.31"/>
    <n v="0.17"/>
    <n v="4.8499999999999996"/>
    <n v="1"/>
    <n v="3"/>
    <x v="0"/>
  </r>
  <r>
    <x v="356"/>
    <d v="1899-12-30T07:41:35"/>
    <d v="1899-12-30T15:28:27"/>
    <n v="6"/>
    <n v="3.04"/>
    <n v="0.72"/>
    <n v="4.12"/>
    <n v="1"/>
    <n v="4"/>
    <x v="0"/>
  </r>
  <r>
    <x v="357"/>
    <d v="1899-12-30T07:41:58"/>
    <d v="1899-12-30T15:29:04"/>
    <n v="8"/>
    <n v="1.0900000000000001"/>
    <n v="0.09"/>
    <n v="6.07"/>
    <n v="0"/>
    <n v="0"/>
    <x v="0"/>
  </r>
  <r>
    <x v="358"/>
    <d v="1899-12-30T07:42:17"/>
    <d v="1899-12-30T15:29:44"/>
    <n v="7"/>
    <n v="2.92"/>
    <n v="1.05"/>
    <n v="4.1399999999999997"/>
    <n v="1"/>
    <n v="1"/>
    <x v="0"/>
  </r>
  <r>
    <x v="359"/>
    <d v="1899-12-30T07:42:33"/>
    <d v="1899-12-30T15:30:27"/>
    <n v="6"/>
    <n v="3.24"/>
    <n v="2.04"/>
    <n v="5.0199999999999996"/>
    <n v="1"/>
    <n v="2"/>
    <x v="0"/>
  </r>
  <r>
    <x v="360"/>
    <d v="1899-12-30T07:42:46"/>
    <d v="1899-12-30T15:31:13"/>
    <n v="5"/>
    <n v="3.79"/>
    <n v="2.61"/>
    <n v="4.6500000000000004"/>
    <n v="1"/>
    <n v="3"/>
    <x v="0"/>
  </r>
  <r>
    <x v="361"/>
    <d v="1899-12-30T07:42:55"/>
    <d v="1899-12-30T15:32:03"/>
    <n v="8"/>
    <n v="1.54"/>
    <n v="0.36"/>
    <n v="4.1900000000000004"/>
    <n v="0"/>
    <n v="0"/>
    <x v="0"/>
  </r>
  <r>
    <x v="362"/>
    <d v="1899-12-30T07:43:01"/>
    <d v="1899-12-30T15:32:56"/>
    <n v="8"/>
    <n v="1.21"/>
    <n v="0.24"/>
    <n v="5.39"/>
    <n v="1"/>
    <n v="1"/>
    <x v="0"/>
  </r>
  <r>
    <x v="363"/>
    <d v="1899-12-30T07:43:03"/>
    <d v="1899-12-30T15:33:51"/>
    <n v="5"/>
    <n v="3.76"/>
    <n v="0.22"/>
    <n v="4.0599999999999996"/>
    <n v="1"/>
    <n v="2"/>
    <x v="0"/>
  </r>
  <r>
    <x v="364"/>
    <d v="1899-12-30T07:43:02"/>
    <d v="1899-12-30T15:34:50"/>
    <n v="8"/>
    <n v="1.98"/>
    <n v="0.03"/>
    <n v="5.03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068C-6353-44DA-87A0-C41056020518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P10:S21" firstHeaderRow="0" firstDataRow="1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164" showAll="0"/>
    <pivotField numFmtId="164"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i" fld="4" subtotal="average" baseField="9" baseItem="0"/>
    <dataField name="Średnia z oddania" fld="5" subtotal="average" baseField="9" baseItem="0"/>
    <dataField name="Średnia z pobrania" fld="6" subtotal="average" baseField="9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9A7CA7-CA5F-4CCF-BE75-99419593AAC6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data" tableColumnId="1"/>
      <queryTableField id="2" name="wsch" tableColumnId="2"/>
      <queryTableField id="3" name="zach" tableColumnId="3"/>
      <queryTableField id="4" name="st_zach" tableColumnId="4"/>
      <queryTableField id="5" name="produkcja" tableColumnId="5"/>
      <queryTableField id="6" name="oddanie" tableColumnId="6"/>
      <queryTableField id="7" name="pobranie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2FCDD-AEB0-4F8A-B8FC-A90836A3F68B}" name="fotowoltaika" displayName="fotowoltaika" ref="A1:M366" tableType="queryTable" totalsRowShown="0">
  <autoFilter ref="A1:M366" xr:uid="{D612FCDD-AEB0-4F8A-B8FC-A90836A3F68B}"/>
  <tableColumns count="13">
    <tableColumn id="1" xr3:uid="{C8D6083D-5ECD-45D0-8DC0-FEA30F726D63}" uniqueName="1" name="data" queryTableFieldId="1" dataDxfId="2"/>
    <tableColumn id="2" xr3:uid="{23B5B7AA-B6BE-499D-BAEE-CD9A2C1E9190}" uniqueName="2" name="wsch" queryTableFieldId="2" dataDxfId="1"/>
    <tableColumn id="3" xr3:uid="{CC186416-C06A-4FF7-B5B1-FF5453572382}" uniqueName="3" name="zach" queryTableFieldId="3" dataDxfId="0"/>
    <tableColumn id="4" xr3:uid="{8678673B-156D-44DB-A851-5EF70AC5B317}" uniqueName="4" name="st_zach" queryTableFieldId="4"/>
    <tableColumn id="5" xr3:uid="{2B022AF0-1768-46BD-89CF-67F12DA31782}" uniqueName="5" name="produkcja" queryTableFieldId="5"/>
    <tableColumn id="6" xr3:uid="{85482BF7-FDE4-4C85-85B2-4ECF57ED8D66}" uniqueName="6" name="oddanie" queryTableFieldId="6"/>
    <tableColumn id="7" xr3:uid="{78E5199D-4522-4008-8D21-89F66B69011F}" uniqueName="7" name="pobranie" queryTableFieldId="7"/>
    <tableColumn id="8" xr3:uid="{8D492660-798A-4E18-B505-303D343CD87D}" uniqueName="8" name="czy_st_nie_wzrastal" queryTableFieldId="8"/>
    <tableColumn id="9" xr3:uid="{3D2304B1-41C5-44BF-B9D5-63073D94082C}" uniqueName="9" name="Ilosc dni w ciagu" queryTableFieldId="9"/>
    <tableColumn id="10" xr3:uid="{6330B472-E01C-4D4C-B3EE-2827619BCC19}" uniqueName="10" name="Czas nasłonecznienia" queryTableFieldId="10">
      <calculatedColumnFormula>HOUR(fotowoltaika[[#This Row],[zach]]-fotowoltaika[[#This Row],[wsch]])</calculatedColumnFormula>
    </tableColumn>
    <tableColumn id="11" xr3:uid="{18ECB662-CCEB-49E3-B91A-C3A849A0DC90}" uniqueName="11" name="Saldo" queryTableFieldId="11">
      <calculatedColumnFormula>100+(0.8*fotowoltaika[[#This Row],[oddanie]])-fotowoltaika[[#This Row],[pobranie]]</calculatedColumnFormula>
    </tableColumn>
    <tableColumn id="12" xr3:uid="{4061E39A-A3D6-4D8F-A55B-23F8CB091412}" uniqueName="12" name="Czy mniej niż 50" queryTableFieldId="12">
      <calculatedColumnFormula>IF(fotowoltaika[[#This Row],[Saldo]]&lt;50,1,0)</calculatedColumnFormula>
    </tableColumn>
    <tableColumn id="13" xr3:uid="{F20F81C7-AC19-4E39-A23F-D602100848B9}" uniqueName="13" name="Czy mniej niż 0" queryTableFieldId="13">
      <calculatedColumnFormula>IF(fotowoltaika[[#This Row],[Saldo]]&lt;0,1,0)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F9B8-B1B6-4A5B-AF3D-812E9B89BF9F}">
  <dimension ref="A1:S366"/>
  <sheetViews>
    <sheetView tabSelected="1" topLeftCell="A6" zoomScale="85" zoomScaleNormal="85" workbookViewId="0">
      <selection activeCell="O20" sqref="O20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9.44140625" bestFit="1" customWidth="1"/>
    <col min="5" max="5" width="11.77734375" bestFit="1" customWidth="1"/>
    <col min="6" max="6" width="10.109375" bestFit="1" customWidth="1"/>
    <col min="7" max="7" width="10.77734375" bestFit="1" customWidth="1"/>
    <col min="8" max="8" width="19.88671875" bestFit="1" customWidth="1"/>
    <col min="9" max="9" width="17" bestFit="1" customWidth="1"/>
    <col min="10" max="10" width="21" bestFit="1" customWidth="1"/>
    <col min="11" max="11" width="7.88671875" bestFit="1" customWidth="1"/>
    <col min="12" max="12" width="10.109375" bestFit="1" customWidth="1"/>
    <col min="15" max="15" width="12.77734375" bestFit="1" customWidth="1"/>
    <col min="16" max="16" width="16.6640625" bestFit="1" customWidth="1"/>
    <col min="17" max="17" width="17.21875" bestFit="1" customWidth="1"/>
    <col min="18" max="18" width="16" bestFit="1" customWidth="1"/>
    <col min="19" max="19" width="16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11</v>
      </c>
      <c r="K1" t="s">
        <v>17</v>
      </c>
      <c r="L1" t="s">
        <v>18</v>
      </c>
      <c r="M1" t="s">
        <v>20</v>
      </c>
    </row>
    <row r="2" spans="1:19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v>1</v>
      </c>
      <c r="J2" s="4">
        <f>HOUR(fotowoltaika[[#This Row],[zach]]-fotowoltaika[[#This Row],[wsch]])</f>
        <v>7</v>
      </c>
      <c r="K2">
        <f>100+(0.8*fotowoltaika[[#This Row],[oddanie]])-fotowoltaika[[#This Row],[pobranie]]</f>
        <v>98.072000000000003</v>
      </c>
      <c r="L2">
        <f>IF(fotowoltaika[[#This Row],[Saldo]]&lt;50,1,0)</f>
        <v>0</v>
      </c>
      <c r="M2">
        <f>IF(fotowoltaika[[#This Row],[Saldo]]&lt;0,1,0)</f>
        <v>0</v>
      </c>
      <c r="O2" t="s">
        <v>20</v>
      </c>
      <c r="P2">
        <f>SUM(M:M)</f>
        <v>0</v>
      </c>
    </row>
    <row r="3" spans="1:19" x14ac:dyDescent="0.3">
      <c r="A3" s="1">
        <v>44563</v>
      </c>
      <c r="B3" s="2">
        <v>0.3213773148148148</v>
      </c>
      <c r="C3" s="2">
        <v>0.65083333333333337</v>
      </c>
      <c r="D3">
        <v>4</v>
      </c>
      <c r="E3">
        <v>4.47</v>
      </c>
      <c r="F3">
        <v>1.23</v>
      </c>
      <c r="G3">
        <v>3.99</v>
      </c>
      <c r="H3">
        <f>IF(AND(fotowoltaika[[#This Row],[st_zach]]&lt;=D2,fotowoltaika[[#This Row],[produkcja]]&gt;=E2),1,0)</f>
        <v>0</v>
      </c>
      <c r="I3">
        <f>(I2+fotowoltaika[[#This Row],[czy_st_nie_wzrastal]])*fotowoltaika[[#This Row],[czy_st_nie_wzrastal]]</f>
        <v>0</v>
      </c>
      <c r="J3" s="4">
        <f>HOUR(fotowoltaika[[#This Row],[zach]]-fotowoltaika[[#This Row],[wsch]])</f>
        <v>7</v>
      </c>
      <c r="K3">
        <f>(K2+(0.8*fotowoltaika[[#This Row],[oddanie]])-(fotowoltaika[[#This Row],[pobranie]]))</f>
        <v>95.066000000000003</v>
      </c>
      <c r="L3">
        <f>IF(fotowoltaika[[#This Row],[Saldo]]&lt;50,1,0)</f>
        <v>0</v>
      </c>
      <c r="M3">
        <f>IF(fotowoltaika[[#This Row],[Saldo]]&lt;0,1,0)</f>
        <v>0</v>
      </c>
      <c r="Q3" s="3" t="s">
        <v>7</v>
      </c>
      <c r="R3">
        <f>+SUM(E:E)+SUM(G:G)-SUM(F:F)</f>
        <v>2715.3200000000015</v>
      </c>
    </row>
    <row r="4" spans="1:19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>IF(AND(fotowoltaika[[#This Row],[st_zach]]&lt;=D3,fotowoltaika[[#This Row],[produkcja]]&gt;=E3),1,0)</f>
        <v>1</v>
      </c>
      <c r="I4">
        <f>(I3+fotowoltaika[[#This Row],[czy_st_nie_wzrastal]])*fotowoltaika[[#This Row],[czy_st_nie_wzrastal]]</f>
        <v>1</v>
      </c>
      <c r="J4" s="4">
        <f>HOUR(fotowoltaika[[#This Row],[zach]]-fotowoltaika[[#This Row],[wsch]])</f>
        <v>7</v>
      </c>
      <c r="K4">
        <f>(K3+(0.8*fotowoltaika[[#This Row],[oddanie]])-(fotowoltaika[[#This Row],[pobranie]]))</f>
        <v>96.298000000000002</v>
      </c>
      <c r="L4">
        <f>IF(fotowoltaika[[#This Row],[Saldo]]&lt;50,1,0)</f>
        <v>0</v>
      </c>
      <c r="M4">
        <f>IF(fotowoltaika[[#This Row],[Saldo]]&lt;0,1,0)</f>
        <v>0</v>
      </c>
      <c r="Q4" t="s">
        <v>10</v>
      </c>
      <c r="R4" s="1" cm="1">
        <f t="array" ref="R4">INDEX(A:A,MATCH(MAX(I:I),I:I,0)-MAX(I:I)+1)</f>
        <v>44707</v>
      </c>
      <c r="S4">
        <f>MAX(I:I)</f>
        <v>6</v>
      </c>
    </row>
    <row r="5" spans="1:19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>IF(AND(fotowoltaika[[#This Row],[st_zach]]&lt;=D4,fotowoltaika[[#This Row],[produkcja]]&gt;=E4),1,0)</f>
        <v>0</v>
      </c>
      <c r="I5">
        <f>(I4+fotowoltaika[[#This Row],[czy_st_nie_wzrastal]])*fotowoltaika[[#This Row],[czy_st_nie_wzrastal]]</f>
        <v>0</v>
      </c>
      <c r="J5" s="4">
        <f>HOUR(fotowoltaika[[#This Row],[zach]]-fotowoltaika[[#This Row],[wsch]])</f>
        <v>7</v>
      </c>
      <c r="K5">
        <f>(K4+(0.8*fotowoltaika[[#This Row],[oddanie]])-(fotowoltaika[[#This Row],[pobranie]]))</f>
        <v>92.054000000000002</v>
      </c>
      <c r="L5">
        <f>IF(fotowoltaika[[#This Row],[Saldo]]&lt;50,1,0)</f>
        <v>0</v>
      </c>
      <c r="M5">
        <f>IF(fotowoltaika[[#This Row],[Saldo]]&lt;0,1,0)</f>
        <v>0</v>
      </c>
      <c r="Q5" t="s">
        <v>19</v>
      </c>
      <c r="R5">
        <f>SUM(L:L)</f>
        <v>71</v>
      </c>
      <c r="S5">
        <v>67</v>
      </c>
    </row>
    <row r="6" spans="1:19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>IF(AND(fotowoltaika[[#This Row],[st_zach]]&lt;=D5,fotowoltaika[[#This Row],[produkcja]]&gt;=E5),1,0)</f>
        <v>1</v>
      </c>
      <c r="I6">
        <f>(I5+fotowoltaika[[#This Row],[czy_st_nie_wzrastal]])*fotowoltaika[[#This Row],[czy_st_nie_wzrastal]]</f>
        <v>1</v>
      </c>
      <c r="J6" s="4">
        <f>HOUR(fotowoltaika[[#This Row],[zach]]-fotowoltaika[[#This Row],[wsch]])</f>
        <v>7</v>
      </c>
      <c r="K6">
        <f>(K5+(0.8*fotowoltaika[[#This Row],[oddanie]])-(fotowoltaika[[#This Row],[pobranie]]))</f>
        <v>92.378</v>
      </c>
      <c r="L6">
        <f>IF(fotowoltaika[[#This Row],[Saldo]]&lt;50,1,0)</f>
        <v>0</v>
      </c>
      <c r="M6">
        <f>IF(fotowoltaika[[#This Row],[Saldo]]&lt;0,1,0)</f>
        <v>0</v>
      </c>
    </row>
    <row r="7" spans="1:19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>IF(AND(fotowoltaika[[#This Row],[st_zach]]&lt;=D6,fotowoltaika[[#This Row],[produkcja]]&gt;=E6),1,0)</f>
        <v>0</v>
      </c>
      <c r="I7">
        <f>(I6+fotowoltaika[[#This Row],[czy_st_nie_wzrastal]])*fotowoltaika[[#This Row],[czy_st_nie_wzrastal]]</f>
        <v>0</v>
      </c>
      <c r="J7" s="4">
        <f>HOUR(fotowoltaika[[#This Row],[zach]]-fotowoltaika[[#This Row],[wsch]])</f>
        <v>8</v>
      </c>
      <c r="K7">
        <f>(K6+(0.8*fotowoltaika[[#This Row],[oddanie]])-(fotowoltaika[[#This Row],[pobranie]]))</f>
        <v>92.4</v>
      </c>
      <c r="L7">
        <f>IF(fotowoltaika[[#This Row],[Saldo]]&lt;50,1,0)</f>
        <v>0</v>
      </c>
      <c r="M7">
        <f>IF(fotowoltaika[[#This Row],[Saldo]]&lt;0,1,0)</f>
        <v>0</v>
      </c>
    </row>
    <row r="8" spans="1:19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>IF(AND(fotowoltaika[[#This Row],[st_zach]]&lt;=D7,fotowoltaika[[#This Row],[produkcja]]&gt;=E7),1,0)</f>
        <v>1</v>
      </c>
      <c r="I8">
        <f>(I7+fotowoltaika[[#This Row],[czy_st_nie_wzrastal]])*fotowoltaika[[#This Row],[czy_st_nie_wzrastal]]</f>
        <v>1</v>
      </c>
      <c r="J8" s="4">
        <f>HOUR(fotowoltaika[[#This Row],[zach]]-fotowoltaika[[#This Row],[wsch]])</f>
        <v>8</v>
      </c>
      <c r="K8">
        <f>(K7+(0.8*fotowoltaika[[#This Row],[oddanie]])-(fotowoltaika[[#This Row],[pobranie]]))</f>
        <v>92.052000000000007</v>
      </c>
      <c r="L8">
        <f>IF(fotowoltaika[[#This Row],[Saldo]]&lt;50,1,0)</f>
        <v>0</v>
      </c>
      <c r="M8">
        <f>IF(fotowoltaika[[#This Row],[Saldo]]&lt;0,1,0)</f>
        <v>0</v>
      </c>
    </row>
    <row r="9" spans="1:19" x14ac:dyDescent="0.3">
      <c r="A9" s="1">
        <v>44569</v>
      </c>
      <c r="B9" s="2">
        <v>0.31994212962962965</v>
      </c>
      <c r="C9" s="2">
        <v>0.65597222222222218</v>
      </c>
      <c r="D9">
        <v>1</v>
      </c>
      <c r="E9">
        <v>7.24</v>
      </c>
      <c r="F9">
        <v>2.58</v>
      </c>
      <c r="G9">
        <v>2.4700000000000002</v>
      </c>
      <c r="H9">
        <f>IF(AND(fotowoltaika[[#This Row],[st_zach]]&lt;=D8,fotowoltaika[[#This Row],[produkcja]]&gt;=E8),1,0)</f>
        <v>0</v>
      </c>
      <c r="I9">
        <f>(I8+fotowoltaika[[#This Row],[czy_st_nie_wzrastal]])*fotowoltaika[[#This Row],[czy_st_nie_wzrastal]]</f>
        <v>0</v>
      </c>
      <c r="J9" s="4">
        <f>HOUR(fotowoltaika[[#This Row],[zach]]-fotowoltaika[[#This Row],[wsch]])</f>
        <v>8</v>
      </c>
      <c r="K9">
        <f>(K8+(0.8*fotowoltaika[[#This Row],[oddanie]])-(fotowoltaika[[#This Row],[pobranie]]))</f>
        <v>91.646000000000015</v>
      </c>
      <c r="L9">
        <f>IF(fotowoltaika[[#This Row],[Saldo]]&lt;50,1,0)</f>
        <v>0</v>
      </c>
      <c r="M9">
        <f>IF(fotowoltaika[[#This Row],[Saldo]]&lt;0,1,0)</f>
        <v>0</v>
      </c>
    </row>
    <row r="10" spans="1:19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>IF(AND(fotowoltaika[[#This Row],[st_zach]]&lt;=D9,fotowoltaika[[#This Row],[produkcja]]&gt;=E9),1,0)</f>
        <v>1</v>
      </c>
      <c r="I10">
        <f>(I9+fotowoltaika[[#This Row],[czy_st_nie_wzrastal]])*fotowoltaika[[#This Row],[czy_st_nie_wzrastal]]</f>
        <v>1</v>
      </c>
      <c r="J10" s="4">
        <f>HOUR(fotowoltaika[[#This Row],[zach]]-fotowoltaika[[#This Row],[wsch]])</f>
        <v>8</v>
      </c>
      <c r="K10">
        <f>(K9+(0.8*fotowoltaika[[#This Row],[oddanie]])-(fotowoltaika[[#This Row],[pobranie]]))</f>
        <v>91.888000000000019</v>
      </c>
      <c r="L10">
        <f>IF(fotowoltaika[[#This Row],[Saldo]]&lt;50,1,0)</f>
        <v>0</v>
      </c>
      <c r="M10">
        <f>IF(fotowoltaika[[#This Row],[Saldo]]&lt;0,1,0)</f>
        <v>0</v>
      </c>
      <c r="P10" s="5" t="s">
        <v>12</v>
      </c>
      <c r="Q10" t="s">
        <v>16</v>
      </c>
      <c r="R10" t="s">
        <v>14</v>
      </c>
      <c r="S10" t="s">
        <v>15</v>
      </c>
    </row>
    <row r="11" spans="1:19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>IF(AND(fotowoltaika[[#This Row],[st_zach]]&lt;=D10,fotowoltaika[[#This Row],[produkcja]]&gt;=E10),1,0)</f>
        <v>0</v>
      </c>
      <c r="I11">
        <f>(I10+fotowoltaika[[#This Row],[czy_st_nie_wzrastal]])*fotowoltaika[[#This Row],[czy_st_nie_wzrastal]]</f>
        <v>0</v>
      </c>
      <c r="J11" s="4">
        <f>HOUR(fotowoltaika[[#This Row],[zach]]-fotowoltaika[[#This Row],[wsch]])</f>
        <v>8</v>
      </c>
      <c r="K11">
        <f>(K10+(0.8*fotowoltaika[[#This Row],[oddanie]])-(fotowoltaika[[#This Row],[pobranie]]))</f>
        <v>90.336000000000027</v>
      </c>
      <c r="L11">
        <f>IF(fotowoltaika[[#This Row],[Saldo]]&lt;50,1,0)</f>
        <v>0</v>
      </c>
      <c r="M11">
        <f>IF(fotowoltaika[[#This Row],[Saldo]]&lt;0,1,0)</f>
        <v>0</v>
      </c>
      <c r="P11" s="6">
        <v>7</v>
      </c>
      <c r="Q11" s="4">
        <v>2.8851612903225816</v>
      </c>
      <c r="R11" s="4">
        <v>1.0867741935483872</v>
      </c>
      <c r="S11" s="4">
        <v>4.9245161290322583</v>
      </c>
    </row>
    <row r="12" spans="1:19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>IF(AND(fotowoltaika[[#This Row],[st_zach]]&lt;=D11,fotowoltaika[[#This Row],[produkcja]]&gt;=E11),1,0)</f>
        <v>0</v>
      </c>
      <c r="I12">
        <f>(I11+fotowoltaika[[#This Row],[czy_st_nie_wzrastal]])*fotowoltaika[[#This Row],[czy_st_nie_wzrastal]]</f>
        <v>0</v>
      </c>
      <c r="J12" s="4">
        <f>HOUR(fotowoltaika[[#This Row],[zach]]-fotowoltaika[[#This Row],[wsch]])</f>
        <v>8</v>
      </c>
      <c r="K12">
        <f>(K11+(0.8*fotowoltaika[[#This Row],[oddanie]])-(fotowoltaika[[#This Row],[pobranie]]))</f>
        <v>87.486000000000033</v>
      </c>
      <c r="L12">
        <f>IF(fotowoltaika[[#This Row],[Saldo]]&lt;50,1,0)</f>
        <v>0</v>
      </c>
      <c r="M12">
        <f>IF(fotowoltaika[[#This Row],[Saldo]]&lt;0,1,0)</f>
        <v>0</v>
      </c>
      <c r="P12" s="6">
        <v>8</v>
      </c>
      <c r="Q12" s="4">
        <v>3.8480851063829786</v>
      </c>
      <c r="R12" s="4">
        <v>1.6531914893617019</v>
      </c>
      <c r="S12" s="4">
        <v>3.3853191489361691</v>
      </c>
    </row>
    <row r="13" spans="1:19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>IF(AND(fotowoltaika[[#This Row],[st_zach]]&lt;=D12,fotowoltaika[[#This Row],[produkcja]]&gt;=E12),1,0)</f>
        <v>0</v>
      </c>
      <c r="I13">
        <f>(I12+fotowoltaika[[#This Row],[czy_st_nie_wzrastal]])*fotowoltaika[[#This Row],[czy_st_nie_wzrastal]]</f>
        <v>0</v>
      </c>
      <c r="J13" s="4">
        <f>HOUR(fotowoltaika[[#This Row],[zach]]-fotowoltaika[[#This Row],[wsch]])</f>
        <v>8</v>
      </c>
      <c r="K13">
        <f>(K12+(0.8*fotowoltaika[[#This Row],[oddanie]])-(fotowoltaika[[#This Row],[pobranie]]))</f>
        <v>84.322000000000031</v>
      </c>
      <c r="L13">
        <f>IF(fotowoltaika[[#This Row],[Saldo]]&lt;50,1,0)</f>
        <v>0</v>
      </c>
      <c r="M13">
        <f>IF(fotowoltaika[[#This Row],[Saldo]]&lt;0,1,0)</f>
        <v>0</v>
      </c>
      <c r="P13" s="6">
        <v>9</v>
      </c>
      <c r="Q13" s="4">
        <v>5.4006060606060604</v>
      </c>
      <c r="R13" s="4">
        <v>2.5590909090909082</v>
      </c>
      <c r="S13" s="4">
        <v>3.1033333333333335</v>
      </c>
    </row>
    <row r="14" spans="1:19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>IF(AND(fotowoltaika[[#This Row],[st_zach]]&lt;=D13,fotowoltaika[[#This Row],[produkcja]]&gt;=E13),1,0)</f>
        <v>1</v>
      </c>
      <c r="I14">
        <f>(I13+fotowoltaika[[#This Row],[czy_st_nie_wzrastal]])*fotowoltaika[[#This Row],[czy_st_nie_wzrastal]]</f>
        <v>1</v>
      </c>
      <c r="J14" s="4">
        <f>HOUR(fotowoltaika[[#This Row],[zach]]-fotowoltaika[[#This Row],[wsch]])</f>
        <v>8</v>
      </c>
      <c r="K14">
        <f>(K13+(0.8*fotowoltaika[[#This Row],[oddanie]])-(fotowoltaika[[#This Row],[pobranie]]))</f>
        <v>84.838000000000022</v>
      </c>
      <c r="L14">
        <f>IF(fotowoltaika[[#This Row],[Saldo]]&lt;50,1,0)</f>
        <v>0</v>
      </c>
      <c r="M14">
        <f>IF(fotowoltaika[[#This Row],[Saldo]]&lt;0,1,0)</f>
        <v>0</v>
      </c>
      <c r="P14" s="6">
        <v>10</v>
      </c>
      <c r="Q14" s="4">
        <v>6.9366666666666665</v>
      </c>
      <c r="R14" s="4">
        <v>3.0203333333333329</v>
      </c>
      <c r="S14" s="4">
        <v>2.8179999999999996</v>
      </c>
    </row>
    <row r="15" spans="1:19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>IF(AND(fotowoltaika[[#This Row],[st_zach]]&lt;=D14,fotowoltaika[[#This Row],[produkcja]]&gt;=E14),1,0)</f>
        <v>0</v>
      </c>
      <c r="I15">
        <f>(I14+fotowoltaika[[#This Row],[czy_st_nie_wzrastal]])*fotowoltaika[[#This Row],[czy_st_nie_wzrastal]]</f>
        <v>0</v>
      </c>
      <c r="J15" s="4">
        <f>HOUR(fotowoltaika[[#This Row],[zach]]-fotowoltaika[[#This Row],[wsch]])</f>
        <v>8</v>
      </c>
      <c r="K15">
        <f>(K14+(0.8*fotowoltaika[[#This Row],[oddanie]])-(fotowoltaika[[#This Row],[pobranie]]))</f>
        <v>84.054000000000016</v>
      </c>
      <c r="L15">
        <f>IF(fotowoltaika[[#This Row],[Saldo]]&lt;50,1,0)</f>
        <v>0</v>
      </c>
      <c r="M15">
        <f>IF(fotowoltaika[[#This Row],[Saldo]]&lt;0,1,0)</f>
        <v>0</v>
      </c>
      <c r="P15" s="6">
        <v>11</v>
      </c>
      <c r="Q15" s="4">
        <v>7.1539999999999981</v>
      </c>
      <c r="R15" s="4">
        <v>3.4816666666666674</v>
      </c>
      <c r="S15" s="4">
        <v>2.6263333333333332</v>
      </c>
    </row>
    <row r="16" spans="1:19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>IF(AND(fotowoltaika[[#This Row],[st_zach]]&lt;=D15,fotowoltaika[[#This Row],[produkcja]]&gt;=E15),1,0)</f>
        <v>0</v>
      </c>
      <c r="I16">
        <f>(I15+fotowoltaika[[#This Row],[czy_st_nie_wzrastal]])*fotowoltaika[[#This Row],[czy_st_nie_wzrastal]]</f>
        <v>0</v>
      </c>
      <c r="J16" s="4">
        <f>HOUR(fotowoltaika[[#This Row],[zach]]-fotowoltaika[[#This Row],[wsch]])</f>
        <v>8</v>
      </c>
      <c r="K16">
        <f>(K15+(0.8*fotowoltaika[[#This Row],[oddanie]])-(fotowoltaika[[#This Row],[pobranie]]))</f>
        <v>82.204000000000022</v>
      </c>
      <c r="L16">
        <f>IF(fotowoltaika[[#This Row],[Saldo]]&lt;50,1,0)</f>
        <v>0</v>
      </c>
      <c r="M16">
        <f>IF(fotowoltaika[[#This Row],[Saldo]]&lt;0,1,0)</f>
        <v>0</v>
      </c>
      <c r="P16" s="6">
        <v>12</v>
      </c>
      <c r="Q16" s="4">
        <v>11.322666666666665</v>
      </c>
      <c r="R16" s="4">
        <v>5.4006666666666669</v>
      </c>
      <c r="S16" s="4">
        <v>2.6583333333333337</v>
      </c>
    </row>
    <row r="17" spans="1:19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>IF(AND(fotowoltaika[[#This Row],[st_zach]]&lt;=D16,fotowoltaika[[#This Row],[produkcja]]&gt;=E16),1,0)</f>
        <v>1</v>
      </c>
      <c r="I17">
        <f>(I16+fotowoltaika[[#This Row],[czy_st_nie_wzrastal]])*fotowoltaika[[#This Row],[czy_st_nie_wzrastal]]</f>
        <v>1</v>
      </c>
      <c r="J17" s="4">
        <f>HOUR(fotowoltaika[[#This Row],[zach]]-fotowoltaika[[#This Row],[wsch]])</f>
        <v>8</v>
      </c>
      <c r="K17">
        <f>(K16+(0.8*fotowoltaika[[#This Row],[oddanie]])-(fotowoltaika[[#This Row],[pobranie]]))</f>
        <v>83.744000000000028</v>
      </c>
      <c r="L17">
        <f>IF(fotowoltaika[[#This Row],[Saldo]]&lt;50,1,0)</f>
        <v>0</v>
      </c>
      <c r="M17">
        <f>IF(fotowoltaika[[#This Row],[Saldo]]&lt;0,1,0)</f>
        <v>0</v>
      </c>
      <c r="P17" s="6">
        <v>13</v>
      </c>
      <c r="Q17" s="4">
        <v>12.232258064516127</v>
      </c>
      <c r="R17" s="4">
        <v>6.347419354838709</v>
      </c>
      <c r="S17" s="4">
        <v>2.4974193548387102</v>
      </c>
    </row>
    <row r="18" spans="1:19" x14ac:dyDescent="0.3">
      <c r="A18" s="1">
        <v>44578</v>
      </c>
      <c r="B18" s="2">
        <v>0.31526620370370373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>IF(AND(fotowoltaika[[#This Row],[st_zach]]&lt;=D17,fotowoltaika[[#This Row],[produkcja]]&gt;=E17),1,0)</f>
        <v>1</v>
      </c>
      <c r="I18">
        <f>(I17+fotowoltaika[[#This Row],[czy_st_nie_wzrastal]])*fotowoltaika[[#This Row],[czy_st_nie_wzrastal]]</f>
        <v>2</v>
      </c>
      <c r="J18" s="4">
        <f>HOUR(fotowoltaika[[#This Row],[zach]]-fotowoltaika[[#This Row],[wsch]])</f>
        <v>8</v>
      </c>
      <c r="K18">
        <f>(K17+(0.8*fotowoltaika[[#This Row],[oddanie]])-(fotowoltaika[[#This Row],[pobranie]]))</f>
        <v>81.404000000000025</v>
      </c>
      <c r="L18">
        <f>IF(fotowoltaika[[#This Row],[Saldo]]&lt;50,1,0)</f>
        <v>0</v>
      </c>
      <c r="M18">
        <f>IF(fotowoltaika[[#This Row],[Saldo]]&lt;0,1,0)</f>
        <v>0</v>
      </c>
      <c r="P18" s="6">
        <v>14</v>
      </c>
      <c r="Q18" s="4">
        <v>10.975483870967745</v>
      </c>
      <c r="R18" s="4">
        <v>5.5135483870967743</v>
      </c>
      <c r="S18" s="4">
        <v>2.5077419354838715</v>
      </c>
    </row>
    <row r="19" spans="1:19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>IF(AND(fotowoltaika[[#This Row],[st_zach]]&lt;=D18,fotowoltaika[[#This Row],[produkcja]]&gt;=E18),1,0)</f>
        <v>0</v>
      </c>
      <c r="I19">
        <f>(I18+fotowoltaika[[#This Row],[czy_st_nie_wzrastal]])*fotowoltaika[[#This Row],[czy_st_nie_wzrastal]]</f>
        <v>0</v>
      </c>
      <c r="J19" s="4">
        <f>HOUR(fotowoltaika[[#This Row],[zach]]-fotowoltaika[[#This Row],[wsch]])</f>
        <v>8</v>
      </c>
      <c r="K19">
        <f>(K18+(0.8*fotowoltaika[[#This Row],[oddanie]])-(fotowoltaika[[#This Row],[pobranie]]))</f>
        <v>78.352000000000032</v>
      </c>
      <c r="L19">
        <f>IF(fotowoltaika[[#This Row],[Saldo]]&lt;50,1,0)</f>
        <v>0</v>
      </c>
      <c r="M19">
        <f>IF(fotowoltaika[[#This Row],[Saldo]]&lt;0,1,0)</f>
        <v>0</v>
      </c>
      <c r="P19" s="6">
        <v>15</v>
      </c>
      <c r="Q19" s="4">
        <v>13.208108108108107</v>
      </c>
      <c r="R19" s="4">
        <v>6.6997297297297296</v>
      </c>
      <c r="S19" s="4">
        <v>2.4445945945945948</v>
      </c>
    </row>
    <row r="20" spans="1:19" x14ac:dyDescent="0.3">
      <c r="A20" s="1">
        <v>44580</v>
      </c>
      <c r="B20" s="2">
        <v>0.31384259259259262</v>
      </c>
      <c r="C20" s="2">
        <v>0.66766203703703708</v>
      </c>
      <c r="D20">
        <v>4</v>
      </c>
      <c r="E20">
        <v>3.53</v>
      </c>
      <c r="F20">
        <v>0.34</v>
      </c>
      <c r="G20">
        <v>1.25</v>
      </c>
      <c r="H20">
        <f>IF(AND(fotowoltaika[[#This Row],[st_zach]]&lt;=D19,fotowoltaika[[#This Row],[produkcja]]&gt;=E19),1,0)</f>
        <v>1</v>
      </c>
      <c r="I20">
        <f>(I19+fotowoltaika[[#This Row],[czy_st_nie_wzrastal]])*fotowoltaika[[#This Row],[czy_st_nie_wzrastal]]</f>
        <v>1</v>
      </c>
      <c r="J20" s="4">
        <f>HOUR(fotowoltaika[[#This Row],[zach]]-fotowoltaika[[#This Row],[wsch]])</f>
        <v>8</v>
      </c>
      <c r="K20">
        <f>(K19+(0.8*fotowoltaika[[#This Row],[oddanie]])-(fotowoltaika[[#This Row],[pobranie]]))</f>
        <v>77.374000000000038</v>
      </c>
      <c r="L20">
        <f>IF(fotowoltaika[[#This Row],[Saldo]]&lt;50,1,0)</f>
        <v>0</v>
      </c>
      <c r="M20">
        <f>IF(fotowoltaika[[#This Row],[Saldo]]&lt;0,1,0)</f>
        <v>0</v>
      </c>
      <c r="P20" s="6">
        <v>16</v>
      </c>
      <c r="Q20" s="4">
        <v>12.592615384615385</v>
      </c>
      <c r="R20" s="4">
        <v>6.7406153846153831</v>
      </c>
      <c r="S20" s="4">
        <v>2.7924615384615374</v>
      </c>
    </row>
    <row r="21" spans="1:19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>IF(AND(fotowoltaika[[#This Row],[st_zach]]&lt;=D20,fotowoltaika[[#This Row],[produkcja]]&gt;=E20),1,0)</f>
        <v>1</v>
      </c>
      <c r="I21">
        <f>(I20+fotowoltaika[[#This Row],[czy_st_nie_wzrastal]])*fotowoltaika[[#This Row],[czy_st_nie_wzrastal]]</f>
        <v>2</v>
      </c>
      <c r="J21" s="4">
        <f>HOUR(fotowoltaika[[#This Row],[zach]]-fotowoltaika[[#This Row],[wsch]])</f>
        <v>8</v>
      </c>
      <c r="K21">
        <f>(K20+(0.8*fotowoltaika[[#This Row],[oddanie]])-(fotowoltaika[[#This Row],[pobranie]]))</f>
        <v>77.956000000000046</v>
      </c>
      <c r="L21">
        <f>IF(fotowoltaika[[#This Row],[Saldo]]&lt;50,1,0)</f>
        <v>0</v>
      </c>
      <c r="M21">
        <f>IF(fotowoltaika[[#This Row],[Saldo]]&lt;0,1,0)</f>
        <v>0</v>
      </c>
      <c r="P21" s="6" t="s">
        <v>13</v>
      </c>
      <c r="Q21" s="4">
        <v>8.8700821917808188</v>
      </c>
      <c r="R21" s="4">
        <v>4.4017534246575369</v>
      </c>
      <c r="S21" s="4">
        <v>2.9709041095890414</v>
      </c>
    </row>
    <row r="22" spans="1:19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>IF(AND(fotowoltaika[[#This Row],[st_zach]]&lt;=D21,fotowoltaika[[#This Row],[produkcja]]&gt;=E21),1,0)</f>
        <v>0</v>
      </c>
      <c r="I22">
        <f>(I21+fotowoltaika[[#This Row],[czy_st_nie_wzrastal]])*fotowoltaika[[#This Row],[czy_st_nie_wzrastal]]</f>
        <v>0</v>
      </c>
      <c r="J22" s="4">
        <f>HOUR(fotowoltaika[[#This Row],[zach]]-fotowoltaika[[#This Row],[wsch]])</f>
        <v>8</v>
      </c>
      <c r="K22">
        <f>(K21+(0.8*fotowoltaika[[#This Row],[oddanie]])-(fotowoltaika[[#This Row],[pobranie]]))</f>
        <v>75.362000000000052</v>
      </c>
      <c r="L22">
        <f>IF(fotowoltaika[[#This Row],[Saldo]]&lt;50,1,0)</f>
        <v>0</v>
      </c>
      <c r="M22">
        <f>IF(fotowoltaika[[#This Row],[Saldo]]&lt;0,1,0)</f>
        <v>0</v>
      </c>
    </row>
    <row r="23" spans="1:19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>IF(AND(fotowoltaika[[#This Row],[st_zach]]&lt;=D22,fotowoltaika[[#This Row],[produkcja]]&gt;=E22),1,0)</f>
        <v>1</v>
      </c>
      <c r="I23">
        <f>(I22+fotowoltaika[[#This Row],[czy_st_nie_wzrastal]])*fotowoltaika[[#This Row],[czy_st_nie_wzrastal]]</f>
        <v>1</v>
      </c>
      <c r="J23" s="4">
        <f>HOUR(fotowoltaika[[#This Row],[zach]]-fotowoltaika[[#This Row],[wsch]])</f>
        <v>8</v>
      </c>
      <c r="K23">
        <f>(K22+(0.8*fotowoltaika[[#This Row],[oddanie]])-(fotowoltaika[[#This Row],[pobranie]]))</f>
        <v>73.766000000000048</v>
      </c>
      <c r="L23">
        <f>IF(fotowoltaika[[#This Row],[Saldo]]&lt;50,1,0)</f>
        <v>0</v>
      </c>
      <c r="M23">
        <f>IF(fotowoltaika[[#This Row],[Saldo]]&lt;0,1,0)</f>
        <v>0</v>
      </c>
    </row>
    <row r="24" spans="1:19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>IF(AND(fotowoltaika[[#This Row],[st_zach]]&lt;=D23,fotowoltaika[[#This Row],[produkcja]]&gt;=E23),1,0)</f>
        <v>1</v>
      </c>
      <c r="I24">
        <f>(I23+fotowoltaika[[#This Row],[czy_st_nie_wzrastal]])*fotowoltaika[[#This Row],[czy_st_nie_wzrastal]]</f>
        <v>2</v>
      </c>
      <c r="J24" s="4">
        <f>HOUR(fotowoltaika[[#This Row],[zach]]-fotowoltaika[[#This Row],[wsch]])</f>
        <v>8</v>
      </c>
      <c r="K24">
        <f>(K23+(0.8*fotowoltaika[[#This Row],[oddanie]])-(fotowoltaika[[#This Row],[pobranie]]))</f>
        <v>74.364000000000047</v>
      </c>
      <c r="L24">
        <f>IF(fotowoltaika[[#This Row],[Saldo]]&lt;50,1,0)</f>
        <v>0</v>
      </c>
      <c r="M24">
        <f>IF(fotowoltaika[[#This Row],[Saldo]]&lt;0,1,0)</f>
        <v>0</v>
      </c>
    </row>
    <row r="25" spans="1:19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>IF(AND(fotowoltaika[[#This Row],[st_zach]]&lt;=D24,fotowoltaika[[#This Row],[produkcja]]&gt;=E24),1,0)</f>
        <v>1</v>
      </c>
      <c r="I25">
        <f>(I24+fotowoltaika[[#This Row],[czy_st_nie_wzrastal]])*fotowoltaika[[#This Row],[czy_st_nie_wzrastal]]</f>
        <v>3</v>
      </c>
      <c r="J25" s="4">
        <f>HOUR(fotowoltaika[[#This Row],[zach]]-fotowoltaika[[#This Row],[wsch]])</f>
        <v>8</v>
      </c>
      <c r="K25">
        <f>(K24+(0.8*fotowoltaika[[#This Row],[oddanie]])-(fotowoltaika[[#This Row],[pobranie]]))</f>
        <v>74.286000000000044</v>
      </c>
      <c r="L25">
        <f>IF(fotowoltaika[[#This Row],[Saldo]]&lt;50,1,0)</f>
        <v>0</v>
      </c>
      <c r="M25">
        <f>IF(fotowoltaika[[#This Row],[Saldo]]&lt;0,1,0)</f>
        <v>0</v>
      </c>
    </row>
    <row r="26" spans="1:19" x14ac:dyDescent="0.3">
      <c r="A26" s="1">
        <v>44586</v>
      </c>
      <c r="B26" s="2">
        <v>0.30884259259259261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>IF(AND(fotowoltaika[[#This Row],[st_zach]]&lt;=D25,fotowoltaika[[#This Row],[produkcja]]&gt;=E25),1,0)</f>
        <v>1</v>
      </c>
      <c r="I26">
        <f>(I25+fotowoltaika[[#This Row],[czy_st_nie_wzrastal]])*fotowoltaika[[#This Row],[czy_st_nie_wzrastal]]</f>
        <v>4</v>
      </c>
      <c r="J26" s="4">
        <f>HOUR(fotowoltaika[[#This Row],[zach]]-fotowoltaika[[#This Row],[wsch]])</f>
        <v>8</v>
      </c>
      <c r="K26">
        <f>(K25+(0.8*fotowoltaika[[#This Row],[oddanie]])-(fotowoltaika[[#This Row],[pobranie]]))</f>
        <v>74.844000000000051</v>
      </c>
      <c r="L26">
        <f>IF(fotowoltaika[[#This Row],[Saldo]]&lt;50,1,0)</f>
        <v>0</v>
      </c>
      <c r="M26">
        <f>IF(fotowoltaika[[#This Row],[Saldo]]&lt;0,1,0)</f>
        <v>0</v>
      </c>
    </row>
    <row r="27" spans="1:19" x14ac:dyDescent="0.3">
      <c r="A27" s="1">
        <v>44587</v>
      </c>
      <c r="B27" s="2">
        <v>0.30791666666666667</v>
      </c>
      <c r="C27" s="2">
        <v>0.67612268518518515</v>
      </c>
      <c r="D27">
        <v>2</v>
      </c>
      <c r="E27">
        <v>5.1100000000000003</v>
      </c>
      <c r="F27">
        <v>2.02</v>
      </c>
      <c r="G27">
        <v>1.35</v>
      </c>
      <c r="H27">
        <f>IF(AND(fotowoltaika[[#This Row],[st_zach]]&lt;=D26,fotowoltaika[[#This Row],[produkcja]]&gt;=E26),1,0)</f>
        <v>0</v>
      </c>
      <c r="I27">
        <f>(I26+fotowoltaika[[#This Row],[czy_st_nie_wzrastal]])*fotowoltaika[[#This Row],[czy_st_nie_wzrastal]]</f>
        <v>0</v>
      </c>
      <c r="J27" s="4">
        <f>HOUR(fotowoltaika[[#This Row],[zach]]-fotowoltaika[[#This Row],[wsch]])</f>
        <v>8</v>
      </c>
      <c r="K27">
        <f>(K26+(0.8*fotowoltaika[[#This Row],[oddanie]])-(fotowoltaika[[#This Row],[pobranie]]))</f>
        <v>75.110000000000056</v>
      </c>
      <c r="L27">
        <f>IF(fotowoltaika[[#This Row],[Saldo]]&lt;50,1,0)</f>
        <v>0</v>
      </c>
      <c r="M27">
        <f>IF(fotowoltaika[[#This Row],[Saldo]]&lt;0,1,0)</f>
        <v>0</v>
      </c>
    </row>
    <row r="28" spans="1:19" x14ac:dyDescent="0.3">
      <c r="A28" s="1">
        <v>44588</v>
      </c>
      <c r="B28" s="2">
        <v>0.3069560185185185</v>
      </c>
      <c r="C28" s="2">
        <v>0.67737268518518523</v>
      </c>
      <c r="D28">
        <v>1</v>
      </c>
      <c r="E28">
        <v>4.97</v>
      </c>
      <c r="F28">
        <v>1.92</v>
      </c>
      <c r="G28">
        <v>2.0099999999999998</v>
      </c>
      <c r="H28">
        <f>IF(AND(fotowoltaika[[#This Row],[st_zach]]&lt;=D27,fotowoltaika[[#This Row],[produkcja]]&gt;=E27),1,0)</f>
        <v>0</v>
      </c>
      <c r="I28">
        <f>(I27+fotowoltaika[[#This Row],[czy_st_nie_wzrastal]])*fotowoltaika[[#This Row],[czy_st_nie_wzrastal]]</f>
        <v>0</v>
      </c>
      <c r="J28" s="4">
        <f>HOUR(fotowoltaika[[#This Row],[zach]]-fotowoltaika[[#This Row],[wsch]])</f>
        <v>8</v>
      </c>
      <c r="K28">
        <f>(K27+(0.8*fotowoltaika[[#This Row],[oddanie]])-(fotowoltaika[[#This Row],[pobranie]]))</f>
        <v>74.636000000000053</v>
      </c>
      <c r="L28">
        <f>IF(fotowoltaika[[#This Row],[Saldo]]&lt;50,1,0)</f>
        <v>0</v>
      </c>
      <c r="M28">
        <f>IF(fotowoltaika[[#This Row],[Saldo]]&lt;0,1,0)</f>
        <v>0</v>
      </c>
    </row>
    <row r="29" spans="1:19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>IF(AND(fotowoltaika[[#This Row],[st_zach]]&lt;=D28,fotowoltaika[[#This Row],[produkcja]]&gt;=E28),1,0)</f>
        <v>1</v>
      </c>
      <c r="I29">
        <f>(I28+fotowoltaika[[#This Row],[czy_st_nie_wzrastal]])*fotowoltaika[[#This Row],[czy_st_nie_wzrastal]]</f>
        <v>1</v>
      </c>
      <c r="J29" s="4">
        <f>HOUR(fotowoltaika[[#This Row],[zach]]-fotowoltaika[[#This Row],[wsch]])</f>
        <v>8</v>
      </c>
      <c r="K29">
        <f>(K28+(0.8*fotowoltaika[[#This Row],[oddanie]])-(fotowoltaika[[#This Row],[pobranie]]))</f>
        <v>76.194000000000045</v>
      </c>
      <c r="L29">
        <f>IF(fotowoltaika[[#This Row],[Saldo]]&lt;50,1,0)</f>
        <v>0</v>
      </c>
      <c r="M29">
        <f>IF(fotowoltaika[[#This Row],[Saldo]]&lt;0,1,0)</f>
        <v>0</v>
      </c>
    </row>
    <row r="30" spans="1:19" x14ac:dyDescent="0.3">
      <c r="A30" s="1">
        <v>44590</v>
      </c>
      <c r="B30" s="2">
        <v>0.30494212962962963</v>
      </c>
      <c r="C30" s="2">
        <v>0.67988425925925922</v>
      </c>
      <c r="D30">
        <v>1</v>
      </c>
      <c r="E30">
        <v>5.76</v>
      </c>
      <c r="F30">
        <v>3.33</v>
      </c>
      <c r="G30">
        <v>2.0099999999999998</v>
      </c>
      <c r="H30">
        <f>IF(AND(fotowoltaika[[#This Row],[st_zach]]&lt;=D29,fotowoltaika[[#This Row],[produkcja]]&gt;=E29),1,0)</f>
        <v>1</v>
      </c>
      <c r="I30">
        <f>(I29+fotowoltaika[[#This Row],[czy_st_nie_wzrastal]])*fotowoltaika[[#This Row],[czy_st_nie_wzrastal]]</f>
        <v>2</v>
      </c>
      <c r="J30" s="4">
        <f>HOUR(fotowoltaika[[#This Row],[zach]]-fotowoltaika[[#This Row],[wsch]])</f>
        <v>8</v>
      </c>
      <c r="K30">
        <f>(K29+(0.8*fotowoltaika[[#This Row],[oddanie]])-(fotowoltaika[[#This Row],[pobranie]]))</f>
        <v>76.848000000000042</v>
      </c>
      <c r="L30">
        <f>IF(fotowoltaika[[#This Row],[Saldo]]&lt;50,1,0)</f>
        <v>0</v>
      </c>
      <c r="M30">
        <f>IF(fotowoltaika[[#This Row],[Saldo]]&lt;0,1,0)</f>
        <v>0</v>
      </c>
    </row>
    <row r="31" spans="1:19" x14ac:dyDescent="0.3">
      <c r="A31" s="1">
        <v>44591</v>
      </c>
      <c r="B31" s="2">
        <v>0.30391203703703706</v>
      </c>
      <c r="C31" s="2">
        <v>0.68115740740740738</v>
      </c>
      <c r="D31">
        <v>2</v>
      </c>
      <c r="E31">
        <v>5.97</v>
      </c>
      <c r="F31">
        <v>3.48</v>
      </c>
      <c r="G31">
        <v>1.93</v>
      </c>
      <c r="H31">
        <f>IF(AND(fotowoltaika[[#This Row],[st_zach]]&lt;=D30,fotowoltaika[[#This Row],[produkcja]]&gt;=E30),1,0)</f>
        <v>0</v>
      </c>
      <c r="I31">
        <f>(I30+fotowoltaika[[#This Row],[czy_st_nie_wzrastal]])*fotowoltaika[[#This Row],[czy_st_nie_wzrastal]]</f>
        <v>0</v>
      </c>
      <c r="J31" s="4">
        <f>HOUR(fotowoltaika[[#This Row],[zach]]-fotowoltaika[[#This Row],[wsch]])</f>
        <v>9</v>
      </c>
      <c r="K31">
        <f>(K30+(0.8*fotowoltaika[[#This Row],[oddanie]])-(fotowoltaika[[#This Row],[pobranie]]))</f>
        <v>77.702000000000041</v>
      </c>
      <c r="L31">
        <f>IF(fotowoltaika[[#This Row],[Saldo]]&lt;50,1,0)</f>
        <v>0</v>
      </c>
      <c r="M31">
        <f>IF(fotowoltaika[[#This Row],[Saldo]]&lt;0,1,0)</f>
        <v>0</v>
      </c>
    </row>
    <row r="32" spans="1:19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>IF(AND(fotowoltaika[[#This Row],[st_zach]]&lt;=D31,fotowoltaika[[#This Row],[produkcja]]&gt;=E31),1,0)</f>
        <v>1</v>
      </c>
      <c r="I32">
        <f>(I31+fotowoltaika[[#This Row],[czy_st_nie_wzrastal]])*fotowoltaika[[#This Row],[czy_st_nie_wzrastal]]</f>
        <v>1</v>
      </c>
      <c r="J32" s="4">
        <f>HOUR(fotowoltaika[[#This Row],[zach]]-fotowoltaika[[#This Row],[wsch]])</f>
        <v>9</v>
      </c>
      <c r="K32">
        <f>(K31+(0.8*fotowoltaika[[#This Row],[oddanie]])-(fotowoltaika[[#This Row],[pobranie]]))</f>
        <v>78.634000000000043</v>
      </c>
      <c r="L32">
        <f>IF(fotowoltaika[[#This Row],[Saldo]]&lt;50,1,0)</f>
        <v>0</v>
      </c>
      <c r="M32">
        <f>IF(fotowoltaika[[#This Row],[Saldo]]&lt;0,1,0)</f>
        <v>0</v>
      </c>
    </row>
    <row r="33" spans="1:13" x14ac:dyDescent="0.3">
      <c r="A33" s="1">
        <v>44593</v>
      </c>
      <c r="B33" s="2">
        <v>0.30175925925925928</v>
      </c>
      <c r="C33" s="2">
        <v>0.68371527777777774</v>
      </c>
      <c r="D33">
        <v>1</v>
      </c>
      <c r="E33">
        <v>6.18</v>
      </c>
      <c r="F33">
        <v>1.34</v>
      </c>
      <c r="G33">
        <v>1.28</v>
      </c>
      <c r="H33">
        <f>IF(AND(fotowoltaika[[#This Row],[st_zach]]&lt;=D32,fotowoltaika[[#This Row],[produkcja]]&gt;=E32),1,0)</f>
        <v>1</v>
      </c>
      <c r="I33">
        <f>(I32+fotowoltaika[[#This Row],[czy_st_nie_wzrastal]])*fotowoltaika[[#This Row],[czy_st_nie_wzrastal]]</f>
        <v>2</v>
      </c>
      <c r="J33" s="4">
        <f>HOUR(fotowoltaika[[#This Row],[zach]]-fotowoltaika[[#This Row],[wsch]])</f>
        <v>9</v>
      </c>
      <c r="K33">
        <f>(K32+(0.8*fotowoltaika[[#This Row],[oddanie]])-(fotowoltaika[[#This Row],[pobranie]]))</f>
        <v>78.426000000000045</v>
      </c>
      <c r="L33">
        <f>IF(fotowoltaika[[#This Row],[Saldo]]&lt;50,1,0)</f>
        <v>0</v>
      </c>
      <c r="M33">
        <f>IF(fotowoltaika[[#This Row],[Saldo]]&lt;0,1,0)</f>
        <v>0</v>
      </c>
    </row>
    <row r="34" spans="1:13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>IF(AND(fotowoltaika[[#This Row],[st_zach]]&lt;=D33,fotowoltaika[[#This Row],[produkcja]]&gt;=E33),1,0)</f>
        <v>1</v>
      </c>
      <c r="I34">
        <f>(I33+fotowoltaika[[#This Row],[czy_st_nie_wzrastal]])*fotowoltaika[[#This Row],[czy_st_nie_wzrastal]]</f>
        <v>3</v>
      </c>
      <c r="J34" s="4">
        <f>HOUR(fotowoltaika[[#This Row],[zach]]-fotowoltaika[[#This Row],[wsch]])</f>
        <v>9</v>
      </c>
      <c r="K34">
        <f>(K33+(0.8*fotowoltaika[[#This Row],[oddanie]])-(fotowoltaika[[#This Row],[pobranie]]))</f>
        <v>78.67200000000004</v>
      </c>
      <c r="L34">
        <f>IF(fotowoltaika[[#This Row],[Saldo]]&lt;50,1,0)</f>
        <v>0</v>
      </c>
      <c r="M34">
        <f>IF(fotowoltaika[[#This Row],[Saldo]]&lt;0,1,0)</f>
        <v>0</v>
      </c>
    </row>
    <row r="35" spans="1:13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>IF(AND(fotowoltaika[[#This Row],[st_zach]]&lt;=D34,fotowoltaika[[#This Row],[produkcja]]&gt;=E34),1,0)</f>
        <v>0</v>
      </c>
      <c r="I35">
        <f>(I34+fotowoltaika[[#This Row],[czy_st_nie_wzrastal]])*fotowoltaika[[#This Row],[czy_st_nie_wzrastal]]</f>
        <v>0</v>
      </c>
      <c r="J35" s="4">
        <f>HOUR(fotowoltaika[[#This Row],[zach]]-fotowoltaika[[#This Row],[wsch]])</f>
        <v>9</v>
      </c>
      <c r="K35">
        <f>(K34+(0.8*fotowoltaika[[#This Row],[oddanie]])-(fotowoltaika[[#This Row],[pobranie]]))</f>
        <v>77.390000000000043</v>
      </c>
      <c r="L35">
        <f>IF(fotowoltaika[[#This Row],[Saldo]]&lt;50,1,0)</f>
        <v>0</v>
      </c>
      <c r="M35">
        <f>IF(fotowoltaika[[#This Row],[Saldo]]&lt;0,1,0)</f>
        <v>0</v>
      </c>
    </row>
    <row r="36" spans="1:13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>IF(AND(fotowoltaika[[#This Row],[st_zach]]&lt;=D35,fotowoltaika[[#This Row],[produkcja]]&gt;=E35),1,0)</f>
        <v>1</v>
      </c>
      <c r="I36">
        <f>(I35+fotowoltaika[[#This Row],[czy_st_nie_wzrastal]])*fotowoltaika[[#This Row],[czy_st_nie_wzrastal]]</f>
        <v>1</v>
      </c>
      <c r="J36" s="4">
        <f>HOUR(fotowoltaika[[#This Row],[zach]]-fotowoltaika[[#This Row],[wsch]])</f>
        <v>9</v>
      </c>
      <c r="K36">
        <f>(K35+(0.8*fotowoltaika[[#This Row],[oddanie]])-(fotowoltaika[[#This Row],[pobranie]]))</f>
        <v>77.122000000000043</v>
      </c>
      <c r="L36">
        <f>IF(fotowoltaika[[#This Row],[Saldo]]&lt;50,1,0)</f>
        <v>0</v>
      </c>
      <c r="M36">
        <f>IF(fotowoltaika[[#This Row],[Saldo]]&lt;0,1,0)</f>
        <v>0</v>
      </c>
    </row>
    <row r="37" spans="1:13" x14ac:dyDescent="0.3">
      <c r="A37" s="1">
        <v>44597</v>
      </c>
      <c r="B37" s="2">
        <v>0.2971759259259259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>IF(AND(fotowoltaika[[#This Row],[st_zach]]&lt;=D36,fotowoltaika[[#This Row],[produkcja]]&gt;=E36),1,0)</f>
        <v>0</v>
      </c>
      <c r="I37">
        <f>(I36+fotowoltaika[[#This Row],[czy_st_nie_wzrastal]])*fotowoltaika[[#This Row],[czy_st_nie_wzrastal]]</f>
        <v>0</v>
      </c>
      <c r="J37" s="4">
        <f>HOUR(fotowoltaika[[#This Row],[zach]]-fotowoltaika[[#This Row],[wsch]])</f>
        <v>9</v>
      </c>
      <c r="K37">
        <f>(K36+(0.8*fotowoltaika[[#This Row],[oddanie]])-(fotowoltaika[[#This Row],[pobranie]]))</f>
        <v>75.726000000000042</v>
      </c>
      <c r="L37">
        <f>IF(fotowoltaika[[#This Row],[Saldo]]&lt;50,1,0)</f>
        <v>0</v>
      </c>
      <c r="M37">
        <f>IF(fotowoltaika[[#This Row],[Saldo]]&lt;0,1,0)</f>
        <v>0</v>
      </c>
    </row>
    <row r="38" spans="1:13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>IF(AND(fotowoltaika[[#This Row],[st_zach]]&lt;=D37,fotowoltaika[[#This Row],[produkcja]]&gt;=E37),1,0)</f>
        <v>1</v>
      </c>
      <c r="I38">
        <f>(I37+fotowoltaika[[#This Row],[czy_st_nie_wzrastal]])*fotowoltaika[[#This Row],[czy_st_nie_wzrastal]]</f>
        <v>1</v>
      </c>
      <c r="J38" s="4">
        <f>HOUR(fotowoltaika[[#This Row],[zach]]-fotowoltaika[[#This Row],[wsch]])</f>
        <v>9</v>
      </c>
      <c r="K38">
        <f>(K37+(0.8*fotowoltaika[[#This Row],[oddanie]])-(fotowoltaika[[#This Row],[pobranie]]))</f>
        <v>74.698000000000036</v>
      </c>
      <c r="L38">
        <f>IF(fotowoltaika[[#This Row],[Saldo]]&lt;50,1,0)</f>
        <v>0</v>
      </c>
      <c r="M38">
        <f>IF(fotowoltaika[[#This Row],[Saldo]]&lt;0,1,0)</f>
        <v>0</v>
      </c>
    </row>
    <row r="39" spans="1:13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>IF(AND(fotowoltaika[[#This Row],[st_zach]]&lt;=D38,fotowoltaika[[#This Row],[produkcja]]&gt;=E38),1,0)</f>
        <v>1</v>
      </c>
      <c r="I39">
        <f>(I38+fotowoltaika[[#This Row],[czy_st_nie_wzrastal]])*fotowoltaika[[#This Row],[czy_st_nie_wzrastal]]</f>
        <v>2</v>
      </c>
      <c r="J39" s="4">
        <f>HOUR(fotowoltaika[[#This Row],[zach]]-fotowoltaika[[#This Row],[wsch]])</f>
        <v>9</v>
      </c>
      <c r="K39">
        <f>(K38+(0.8*fotowoltaika[[#This Row],[oddanie]])-(fotowoltaika[[#This Row],[pobranie]]))</f>
        <v>73.966000000000037</v>
      </c>
      <c r="L39">
        <f>IF(fotowoltaika[[#This Row],[Saldo]]&lt;50,1,0)</f>
        <v>0</v>
      </c>
      <c r="M39">
        <f>IF(fotowoltaika[[#This Row],[Saldo]]&lt;0,1,0)</f>
        <v>0</v>
      </c>
    </row>
    <row r="40" spans="1:13" x14ac:dyDescent="0.3">
      <c r="A40" s="1">
        <v>44600</v>
      </c>
      <c r="B40" s="2">
        <v>0.29351851851851851</v>
      </c>
      <c r="C40" s="2">
        <v>0.69277777777777783</v>
      </c>
      <c r="D40">
        <v>1</v>
      </c>
      <c r="E40">
        <v>7.84</v>
      </c>
      <c r="F40">
        <v>2.63</v>
      </c>
      <c r="G40">
        <v>2.19</v>
      </c>
      <c r="H40">
        <f>IF(AND(fotowoltaika[[#This Row],[st_zach]]&lt;=D39,fotowoltaika[[#This Row],[produkcja]]&gt;=E39),1,0)</f>
        <v>1</v>
      </c>
      <c r="I40">
        <f>(I39+fotowoltaika[[#This Row],[czy_st_nie_wzrastal]])*fotowoltaika[[#This Row],[czy_st_nie_wzrastal]]</f>
        <v>3</v>
      </c>
      <c r="J40" s="4">
        <f>HOUR(fotowoltaika[[#This Row],[zach]]-fotowoltaika[[#This Row],[wsch]])</f>
        <v>9</v>
      </c>
      <c r="K40">
        <f>(K39+(0.8*fotowoltaika[[#This Row],[oddanie]])-(fotowoltaika[[#This Row],[pobranie]]))</f>
        <v>73.880000000000038</v>
      </c>
      <c r="L40">
        <f>IF(fotowoltaika[[#This Row],[Saldo]]&lt;50,1,0)</f>
        <v>0</v>
      </c>
      <c r="M40">
        <f>IF(fotowoltaika[[#This Row],[Saldo]]&lt;0,1,0)</f>
        <v>0</v>
      </c>
    </row>
    <row r="41" spans="1:13" x14ac:dyDescent="0.3">
      <c r="A41" s="1">
        <v>44601</v>
      </c>
      <c r="B41" s="2">
        <v>0.29226851851851854</v>
      </c>
      <c r="C41" s="2">
        <v>0.6940856481481481</v>
      </c>
      <c r="D41">
        <v>6</v>
      </c>
      <c r="E41">
        <v>2.93</v>
      </c>
      <c r="F41">
        <v>1.1299999999999999</v>
      </c>
      <c r="G41">
        <v>3.1</v>
      </c>
      <c r="H41">
        <f>IF(AND(fotowoltaika[[#This Row],[st_zach]]&lt;=D40,fotowoltaika[[#This Row],[produkcja]]&gt;=E40),1,0)</f>
        <v>0</v>
      </c>
      <c r="I41">
        <f>(I40+fotowoltaika[[#This Row],[czy_st_nie_wzrastal]])*fotowoltaika[[#This Row],[czy_st_nie_wzrastal]]</f>
        <v>0</v>
      </c>
      <c r="J41" s="4">
        <f>HOUR(fotowoltaika[[#This Row],[zach]]-fotowoltaika[[#This Row],[wsch]])</f>
        <v>9</v>
      </c>
      <c r="K41">
        <f>(K40+(0.8*fotowoltaika[[#This Row],[oddanie]])-(fotowoltaika[[#This Row],[pobranie]]))</f>
        <v>71.68400000000004</v>
      </c>
      <c r="L41">
        <f>IF(fotowoltaika[[#This Row],[Saldo]]&lt;50,1,0)</f>
        <v>0</v>
      </c>
      <c r="M41">
        <f>IF(fotowoltaika[[#This Row],[Saldo]]&lt;0,1,0)</f>
        <v>0</v>
      </c>
    </row>
    <row r="42" spans="1:13" x14ac:dyDescent="0.3">
      <c r="A42" s="1">
        <v>44602</v>
      </c>
      <c r="B42" s="2">
        <v>0.29098379629629628</v>
      </c>
      <c r="C42" s="2">
        <v>0.69538194444444446</v>
      </c>
      <c r="D42">
        <v>7</v>
      </c>
      <c r="E42">
        <v>1.24</v>
      </c>
      <c r="F42">
        <v>0.3</v>
      </c>
      <c r="G42">
        <v>2.14</v>
      </c>
      <c r="H42">
        <f>IF(AND(fotowoltaika[[#This Row],[st_zach]]&lt;=D41,fotowoltaika[[#This Row],[produkcja]]&gt;=E41),1,0)</f>
        <v>0</v>
      </c>
      <c r="I42">
        <f>(I41+fotowoltaika[[#This Row],[czy_st_nie_wzrastal]])*fotowoltaika[[#This Row],[czy_st_nie_wzrastal]]</f>
        <v>0</v>
      </c>
      <c r="J42" s="4">
        <f>HOUR(fotowoltaika[[#This Row],[zach]]-fotowoltaika[[#This Row],[wsch]])</f>
        <v>9</v>
      </c>
      <c r="K42">
        <f>(K41+(0.8*fotowoltaika[[#This Row],[oddanie]])-(fotowoltaika[[#This Row],[pobranie]]))</f>
        <v>69.784000000000034</v>
      </c>
      <c r="L42">
        <f>IF(fotowoltaika[[#This Row],[Saldo]]&lt;50,1,0)</f>
        <v>0</v>
      </c>
      <c r="M42">
        <f>IF(fotowoltaika[[#This Row],[Saldo]]&lt;0,1,0)</f>
        <v>0</v>
      </c>
    </row>
    <row r="43" spans="1:13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>IF(AND(fotowoltaika[[#This Row],[st_zach]]&lt;=D42,fotowoltaika[[#This Row],[produkcja]]&gt;=E42),1,0)</f>
        <v>0</v>
      </c>
      <c r="I43">
        <f>(I42+fotowoltaika[[#This Row],[czy_st_nie_wzrastal]])*fotowoltaika[[#This Row],[czy_st_nie_wzrastal]]</f>
        <v>0</v>
      </c>
      <c r="J43" s="4">
        <f>HOUR(fotowoltaika[[#This Row],[zach]]-fotowoltaika[[#This Row],[wsch]])</f>
        <v>9</v>
      </c>
      <c r="K43">
        <f>(K42+(0.8*fotowoltaika[[#This Row],[oddanie]])-(fotowoltaika[[#This Row],[pobranie]]))</f>
        <v>64.924000000000035</v>
      </c>
      <c r="L43">
        <f>IF(fotowoltaika[[#This Row],[Saldo]]&lt;50,1,0)</f>
        <v>0</v>
      </c>
      <c r="M43">
        <f>IF(fotowoltaika[[#This Row],[Saldo]]&lt;0,1,0)</f>
        <v>0</v>
      </c>
    </row>
    <row r="44" spans="1:13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>IF(AND(fotowoltaika[[#This Row],[st_zach]]&lt;=D43,fotowoltaika[[#This Row],[produkcja]]&gt;=E43),1,0)</f>
        <v>1</v>
      </c>
      <c r="I44">
        <f>(I43+fotowoltaika[[#This Row],[czy_st_nie_wzrastal]])*fotowoltaika[[#This Row],[czy_st_nie_wzrastal]]</f>
        <v>1</v>
      </c>
      <c r="J44" s="4">
        <f>HOUR(fotowoltaika[[#This Row],[zach]]-fotowoltaika[[#This Row],[wsch]])</f>
        <v>9</v>
      </c>
      <c r="K44">
        <f>(K43+(0.8*fotowoltaika[[#This Row],[oddanie]])-(fotowoltaika[[#This Row],[pobranie]]))</f>
        <v>65.484000000000037</v>
      </c>
      <c r="L44">
        <f>IF(fotowoltaika[[#This Row],[Saldo]]&lt;50,1,0)</f>
        <v>0</v>
      </c>
      <c r="M44">
        <f>IF(fotowoltaika[[#This Row],[Saldo]]&lt;0,1,0)</f>
        <v>0</v>
      </c>
    </row>
    <row r="45" spans="1:13" x14ac:dyDescent="0.3">
      <c r="A45" s="1">
        <v>44605</v>
      </c>
      <c r="B45" s="2">
        <v>0.28706018518518517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>IF(AND(fotowoltaika[[#This Row],[st_zach]]&lt;=D44,fotowoltaika[[#This Row],[produkcja]]&gt;=E44),1,0)</f>
        <v>0</v>
      </c>
      <c r="I45">
        <f>(I44+fotowoltaika[[#This Row],[czy_st_nie_wzrastal]])*fotowoltaika[[#This Row],[czy_st_nie_wzrastal]]</f>
        <v>0</v>
      </c>
      <c r="J45" s="4">
        <f>HOUR(fotowoltaika[[#This Row],[zach]]-fotowoltaika[[#This Row],[wsch]])</f>
        <v>9</v>
      </c>
      <c r="K45">
        <f>(K44+(0.8*fotowoltaika[[#This Row],[oddanie]])-(fotowoltaika[[#This Row],[pobranie]]))</f>
        <v>64.28000000000003</v>
      </c>
      <c r="L45">
        <f>IF(fotowoltaika[[#This Row],[Saldo]]&lt;50,1,0)</f>
        <v>0</v>
      </c>
      <c r="M45">
        <f>IF(fotowoltaika[[#This Row],[Saldo]]&lt;0,1,0)</f>
        <v>0</v>
      </c>
    </row>
    <row r="46" spans="1:13" x14ac:dyDescent="0.3">
      <c r="A46" s="1">
        <v>44606</v>
      </c>
      <c r="B46" s="2">
        <v>0.28570601851851851</v>
      </c>
      <c r="C46" s="2">
        <v>0.70059027777777783</v>
      </c>
      <c r="D46">
        <v>2</v>
      </c>
      <c r="E46">
        <v>5.62</v>
      </c>
      <c r="F46">
        <v>2.41</v>
      </c>
      <c r="G46">
        <v>2.59</v>
      </c>
      <c r="H46">
        <f>IF(AND(fotowoltaika[[#This Row],[st_zach]]&lt;=D45,fotowoltaika[[#This Row],[produkcja]]&gt;=E45),1,0)</f>
        <v>1</v>
      </c>
      <c r="I46">
        <f>(I45+fotowoltaika[[#This Row],[czy_st_nie_wzrastal]])*fotowoltaika[[#This Row],[czy_st_nie_wzrastal]]</f>
        <v>1</v>
      </c>
      <c r="J46" s="4">
        <f>HOUR(fotowoltaika[[#This Row],[zach]]-fotowoltaika[[#This Row],[wsch]])</f>
        <v>9</v>
      </c>
      <c r="K46">
        <f>(K45+(0.8*fotowoltaika[[#This Row],[oddanie]])-(fotowoltaika[[#This Row],[pobranie]]))</f>
        <v>63.618000000000023</v>
      </c>
      <c r="L46">
        <f>IF(fotowoltaika[[#This Row],[Saldo]]&lt;50,1,0)</f>
        <v>0</v>
      </c>
      <c r="M46">
        <f>IF(fotowoltaika[[#This Row],[Saldo]]&lt;0,1,0)</f>
        <v>0</v>
      </c>
    </row>
    <row r="47" spans="1:13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>IF(AND(fotowoltaika[[#This Row],[st_zach]]&lt;=D46,fotowoltaika[[#This Row],[produkcja]]&gt;=E46),1,0)</f>
        <v>0</v>
      </c>
      <c r="I47">
        <f>(I46+fotowoltaika[[#This Row],[czy_st_nie_wzrastal]])*fotowoltaika[[#This Row],[czy_st_nie_wzrastal]]</f>
        <v>0</v>
      </c>
      <c r="J47" s="4">
        <f>HOUR(fotowoltaika[[#This Row],[zach]]-fotowoltaika[[#This Row],[wsch]])</f>
        <v>10</v>
      </c>
      <c r="K47">
        <f>(K46+(0.8*fotowoltaika[[#This Row],[oddanie]])-(fotowoltaika[[#This Row],[pobranie]]))</f>
        <v>61.712000000000025</v>
      </c>
      <c r="L47">
        <f>IF(fotowoltaika[[#This Row],[Saldo]]&lt;50,1,0)</f>
        <v>0</v>
      </c>
      <c r="M47">
        <f>IF(fotowoltaika[[#This Row],[Saldo]]&lt;0,1,0)</f>
        <v>0</v>
      </c>
    </row>
    <row r="48" spans="1:13" x14ac:dyDescent="0.3">
      <c r="A48" s="1">
        <v>44608</v>
      </c>
      <c r="B48" s="2">
        <v>0.28297453703703701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>IF(AND(fotowoltaika[[#This Row],[st_zach]]&lt;=D47,fotowoltaika[[#This Row],[produkcja]]&gt;=E47),1,0)</f>
        <v>0</v>
      </c>
      <c r="I48">
        <f>(I47+fotowoltaika[[#This Row],[czy_st_nie_wzrastal]])*fotowoltaika[[#This Row],[czy_st_nie_wzrastal]]</f>
        <v>0</v>
      </c>
      <c r="J48" s="4">
        <f>HOUR(fotowoltaika[[#This Row],[zach]]-fotowoltaika[[#This Row],[wsch]])</f>
        <v>10</v>
      </c>
      <c r="K48">
        <f>(K47+(0.8*fotowoltaika[[#This Row],[oddanie]])-(fotowoltaika[[#This Row],[pobranie]]))</f>
        <v>59.812000000000026</v>
      </c>
      <c r="L48">
        <f>IF(fotowoltaika[[#This Row],[Saldo]]&lt;50,1,0)</f>
        <v>0</v>
      </c>
      <c r="M48">
        <f>IF(fotowoltaika[[#This Row],[Saldo]]&lt;0,1,0)</f>
        <v>0</v>
      </c>
    </row>
    <row r="49" spans="1:13" x14ac:dyDescent="0.3">
      <c r="A49" s="1">
        <v>44609</v>
      </c>
      <c r="B49" s="2">
        <v>0.28158564814814813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>IF(AND(fotowoltaika[[#This Row],[st_zach]]&lt;=D48,fotowoltaika[[#This Row],[produkcja]]&gt;=E48),1,0)</f>
        <v>1</v>
      </c>
      <c r="I49">
        <f>(I48+fotowoltaika[[#This Row],[czy_st_nie_wzrastal]])*fotowoltaika[[#This Row],[czy_st_nie_wzrastal]]</f>
        <v>1</v>
      </c>
      <c r="J49" s="4">
        <f>HOUR(fotowoltaika[[#This Row],[zach]]-fotowoltaika[[#This Row],[wsch]])</f>
        <v>10</v>
      </c>
      <c r="K49">
        <f>(K48+(0.8*fotowoltaika[[#This Row],[oddanie]])-(fotowoltaika[[#This Row],[pobranie]]))</f>
        <v>60.396000000000029</v>
      </c>
      <c r="L49">
        <f>IF(fotowoltaika[[#This Row],[Saldo]]&lt;50,1,0)</f>
        <v>0</v>
      </c>
      <c r="M49">
        <f>IF(fotowoltaika[[#This Row],[Saldo]]&lt;0,1,0)</f>
        <v>0</v>
      </c>
    </row>
    <row r="50" spans="1:13" x14ac:dyDescent="0.3">
      <c r="A50" s="1">
        <v>44610</v>
      </c>
      <c r="B50" s="2">
        <v>0.2801851851851852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>IF(AND(fotowoltaika[[#This Row],[st_zach]]&lt;=D49,fotowoltaika[[#This Row],[produkcja]]&gt;=E49),1,0)</f>
        <v>0</v>
      </c>
      <c r="I50">
        <f>(I49+fotowoltaika[[#This Row],[czy_st_nie_wzrastal]])*fotowoltaika[[#This Row],[czy_st_nie_wzrastal]]</f>
        <v>0</v>
      </c>
      <c r="J50" s="4">
        <f>HOUR(fotowoltaika[[#This Row],[zach]]-fotowoltaika[[#This Row],[wsch]])</f>
        <v>10</v>
      </c>
      <c r="K50">
        <f>(K49+(0.8*fotowoltaika[[#This Row],[oddanie]])-(fotowoltaika[[#This Row],[pobranie]]))</f>
        <v>58.322000000000031</v>
      </c>
      <c r="L50">
        <f>IF(fotowoltaika[[#This Row],[Saldo]]&lt;50,1,0)</f>
        <v>0</v>
      </c>
      <c r="M50">
        <f>IF(fotowoltaika[[#This Row],[Saldo]]&lt;0,1,0)</f>
        <v>0</v>
      </c>
    </row>
    <row r="51" spans="1:13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>IF(AND(fotowoltaika[[#This Row],[st_zach]]&lt;=D50,fotowoltaika[[#This Row],[produkcja]]&gt;=E50),1,0)</f>
        <v>0</v>
      </c>
      <c r="I51">
        <f>(I50+fotowoltaika[[#This Row],[czy_st_nie_wzrastal]])*fotowoltaika[[#This Row],[czy_st_nie_wzrastal]]</f>
        <v>0</v>
      </c>
      <c r="J51" s="4">
        <f>HOUR(fotowoltaika[[#This Row],[zach]]-fotowoltaika[[#This Row],[wsch]])</f>
        <v>10</v>
      </c>
      <c r="K51">
        <f>(K50+(0.8*fotowoltaika[[#This Row],[oddanie]])-(fotowoltaika[[#This Row],[pobranie]]))</f>
        <v>55.872000000000028</v>
      </c>
      <c r="L51">
        <f>IF(fotowoltaika[[#This Row],[Saldo]]&lt;50,1,0)</f>
        <v>0</v>
      </c>
      <c r="M51">
        <f>IF(fotowoltaika[[#This Row],[Saldo]]&lt;0,1,0)</f>
        <v>0</v>
      </c>
    </row>
    <row r="52" spans="1:13" x14ac:dyDescent="0.3">
      <c r="A52" s="1">
        <v>44612</v>
      </c>
      <c r="B52" s="2">
        <v>0.27733796296296298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>IF(AND(fotowoltaika[[#This Row],[st_zach]]&lt;=D51,fotowoltaika[[#This Row],[produkcja]]&gt;=E51),1,0)</f>
        <v>1</v>
      </c>
      <c r="I52">
        <f>(I51+fotowoltaika[[#This Row],[czy_st_nie_wzrastal]])*fotowoltaika[[#This Row],[czy_st_nie_wzrastal]]</f>
        <v>1</v>
      </c>
      <c r="J52" s="4">
        <f>HOUR(fotowoltaika[[#This Row],[zach]]-fotowoltaika[[#This Row],[wsch]])</f>
        <v>10</v>
      </c>
      <c r="K52">
        <f>(K51+(0.8*fotowoltaika[[#This Row],[oddanie]])-(fotowoltaika[[#This Row],[pobranie]]))</f>
        <v>56.104000000000028</v>
      </c>
      <c r="L52">
        <f>IF(fotowoltaika[[#This Row],[Saldo]]&lt;50,1,0)</f>
        <v>0</v>
      </c>
      <c r="M52">
        <f>IF(fotowoltaika[[#This Row],[Saldo]]&lt;0,1,0)</f>
        <v>0</v>
      </c>
    </row>
    <row r="53" spans="1:13" x14ac:dyDescent="0.3">
      <c r="A53" s="1">
        <v>44613</v>
      </c>
      <c r="B53" s="2">
        <v>0.27590277777777777</v>
      </c>
      <c r="C53" s="2">
        <v>0.70962962962962961</v>
      </c>
      <c r="D53">
        <v>0</v>
      </c>
      <c r="E53">
        <v>9.85</v>
      </c>
      <c r="F53">
        <v>3.02</v>
      </c>
      <c r="G53">
        <v>2.46</v>
      </c>
      <c r="H53">
        <f>IF(AND(fotowoltaika[[#This Row],[st_zach]]&lt;=D52,fotowoltaika[[#This Row],[produkcja]]&gt;=E52),1,0)</f>
        <v>1</v>
      </c>
      <c r="I53">
        <f>(I52+fotowoltaika[[#This Row],[czy_st_nie_wzrastal]])*fotowoltaika[[#This Row],[czy_st_nie_wzrastal]]</f>
        <v>2</v>
      </c>
      <c r="J53" s="4">
        <f>HOUR(fotowoltaika[[#This Row],[zach]]-fotowoltaika[[#This Row],[wsch]])</f>
        <v>10</v>
      </c>
      <c r="K53">
        <f>(K52+(0.8*fotowoltaika[[#This Row],[oddanie]])-(fotowoltaika[[#This Row],[pobranie]]))</f>
        <v>56.060000000000024</v>
      </c>
      <c r="L53">
        <f>IF(fotowoltaika[[#This Row],[Saldo]]&lt;50,1,0)</f>
        <v>0</v>
      </c>
      <c r="M53">
        <f>IF(fotowoltaika[[#This Row],[Saldo]]&lt;0,1,0)</f>
        <v>0</v>
      </c>
    </row>
    <row r="54" spans="1:13" x14ac:dyDescent="0.3">
      <c r="A54" s="1">
        <v>44614</v>
      </c>
      <c r="B54" s="2">
        <v>0.27444444444444444</v>
      </c>
      <c r="C54" s="2">
        <v>0.71091435185185181</v>
      </c>
      <c r="D54">
        <v>1</v>
      </c>
      <c r="E54">
        <v>9.2899999999999991</v>
      </c>
      <c r="F54">
        <v>2.79</v>
      </c>
      <c r="G54">
        <v>1.49</v>
      </c>
      <c r="H54">
        <f>IF(AND(fotowoltaika[[#This Row],[st_zach]]&lt;=D53,fotowoltaika[[#This Row],[produkcja]]&gt;=E53),1,0)</f>
        <v>0</v>
      </c>
      <c r="I54">
        <f>(I53+fotowoltaika[[#This Row],[czy_st_nie_wzrastal]])*fotowoltaika[[#This Row],[czy_st_nie_wzrastal]]</f>
        <v>0</v>
      </c>
      <c r="J54" s="4">
        <f>HOUR(fotowoltaika[[#This Row],[zach]]-fotowoltaika[[#This Row],[wsch]])</f>
        <v>10</v>
      </c>
      <c r="K54">
        <f>(K53+(0.8*fotowoltaika[[#This Row],[oddanie]])-(fotowoltaika[[#This Row],[pobranie]]))</f>
        <v>56.802000000000021</v>
      </c>
      <c r="L54">
        <f>IF(fotowoltaika[[#This Row],[Saldo]]&lt;50,1,0)</f>
        <v>0</v>
      </c>
      <c r="M54">
        <f>IF(fotowoltaika[[#This Row],[Saldo]]&lt;0,1,0)</f>
        <v>0</v>
      </c>
    </row>
    <row r="55" spans="1:13" x14ac:dyDescent="0.3">
      <c r="A55" s="1">
        <v>44615</v>
      </c>
      <c r="B55" s="2">
        <v>0.27297453703703706</v>
      </c>
      <c r="C55" s="2">
        <v>0.71219907407407412</v>
      </c>
      <c r="D55">
        <v>4</v>
      </c>
      <c r="E55">
        <v>2.57</v>
      </c>
      <c r="F55">
        <v>0.76</v>
      </c>
      <c r="G55">
        <v>4.03</v>
      </c>
      <c r="H55">
        <f>IF(AND(fotowoltaika[[#This Row],[st_zach]]&lt;=D54,fotowoltaika[[#This Row],[produkcja]]&gt;=E54),1,0)</f>
        <v>0</v>
      </c>
      <c r="I55">
        <f>(I54+fotowoltaika[[#This Row],[czy_st_nie_wzrastal]])*fotowoltaika[[#This Row],[czy_st_nie_wzrastal]]</f>
        <v>0</v>
      </c>
      <c r="J55" s="4">
        <f>HOUR(fotowoltaika[[#This Row],[zach]]-fotowoltaika[[#This Row],[wsch]])</f>
        <v>10</v>
      </c>
      <c r="K55">
        <f>(K54+(0.8*fotowoltaika[[#This Row],[oddanie]])-(fotowoltaika[[#This Row],[pobranie]]))</f>
        <v>53.380000000000017</v>
      </c>
      <c r="L55">
        <f>IF(fotowoltaika[[#This Row],[Saldo]]&lt;50,1,0)</f>
        <v>0</v>
      </c>
      <c r="M55">
        <f>IF(fotowoltaika[[#This Row],[Saldo]]&lt;0,1,0)</f>
        <v>0</v>
      </c>
    </row>
    <row r="56" spans="1:13" x14ac:dyDescent="0.3">
      <c r="A56" s="1">
        <v>44616</v>
      </c>
      <c r="B56" s="2">
        <v>0.27150462962962962</v>
      </c>
      <c r="C56" s="2">
        <v>0.71347222222222217</v>
      </c>
      <c r="D56">
        <v>0</v>
      </c>
      <c r="E56">
        <v>9.64</v>
      </c>
      <c r="F56">
        <v>3.82</v>
      </c>
      <c r="G56">
        <v>2.36</v>
      </c>
      <c r="H56">
        <f>IF(AND(fotowoltaika[[#This Row],[st_zach]]&lt;=D55,fotowoltaika[[#This Row],[produkcja]]&gt;=E55),1,0)</f>
        <v>1</v>
      </c>
      <c r="I56">
        <f>(I55+fotowoltaika[[#This Row],[czy_st_nie_wzrastal]])*fotowoltaika[[#This Row],[czy_st_nie_wzrastal]]</f>
        <v>1</v>
      </c>
      <c r="J56" s="4">
        <f>HOUR(fotowoltaika[[#This Row],[zach]]-fotowoltaika[[#This Row],[wsch]])</f>
        <v>10</v>
      </c>
      <c r="K56">
        <f>(K55+(0.8*fotowoltaika[[#This Row],[oddanie]])-(fotowoltaika[[#This Row],[pobranie]]))</f>
        <v>54.076000000000015</v>
      </c>
      <c r="L56">
        <f>IF(fotowoltaika[[#This Row],[Saldo]]&lt;50,1,0)</f>
        <v>0</v>
      </c>
      <c r="M56">
        <f>IF(fotowoltaika[[#This Row],[Saldo]]&lt;0,1,0)</f>
        <v>0</v>
      </c>
    </row>
    <row r="57" spans="1:13" x14ac:dyDescent="0.3">
      <c r="A57" s="1">
        <v>44617</v>
      </c>
      <c r="B57" s="2">
        <v>0.27001157407407406</v>
      </c>
      <c r="C57" s="2">
        <v>0.71474537037037034</v>
      </c>
      <c r="D57">
        <v>0</v>
      </c>
      <c r="E57">
        <v>9.35</v>
      </c>
      <c r="F57">
        <v>3.73</v>
      </c>
      <c r="G57">
        <v>2.1800000000000002</v>
      </c>
      <c r="H57">
        <f>IF(AND(fotowoltaika[[#This Row],[st_zach]]&lt;=D56,fotowoltaika[[#This Row],[produkcja]]&gt;=E56),1,0)</f>
        <v>0</v>
      </c>
      <c r="I57">
        <f>(I56+fotowoltaika[[#This Row],[czy_st_nie_wzrastal]])*fotowoltaika[[#This Row],[czy_st_nie_wzrastal]]</f>
        <v>0</v>
      </c>
      <c r="J57" s="4">
        <f>HOUR(fotowoltaika[[#This Row],[zach]]-fotowoltaika[[#This Row],[wsch]])</f>
        <v>10</v>
      </c>
      <c r="K57">
        <f>(K56+(0.8*fotowoltaika[[#This Row],[oddanie]])-(fotowoltaika[[#This Row],[pobranie]]))</f>
        <v>54.880000000000017</v>
      </c>
      <c r="L57">
        <f>IF(fotowoltaika[[#This Row],[Saldo]]&lt;50,1,0)</f>
        <v>0</v>
      </c>
      <c r="M57">
        <f>IF(fotowoltaika[[#This Row],[Saldo]]&lt;0,1,0)</f>
        <v>0</v>
      </c>
    </row>
    <row r="58" spans="1:13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>IF(AND(fotowoltaika[[#This Row],[st_zach]]&lt;=D57,fotowoltaika[[#This Row],[produkcja]]&gt;=E57),1,0)</f>
        <v>0</v>
      </c>
      <c r="I58">
        <f>(I57+fotowoltaika[[#This Row],[czy_st_nie_wzrastal]])*fotowoltaika[[#This Row],[czy_st_nie_wzrastal]]</f>
        <v>0</v>
      </c>
      <c r="J58" s="4">
        <f>HOUR(fotowoltaika[[#This Row],[zach]]-fotowoltaika[[#This Row],[wsch]])</f>
        <v>10</v>
      </c>
      <c r="K58">
        <f>(K57+(0.8*fotowoltaika[[#This Row],[oddanie]])-(fotowoltaika[[#This Row],[pobranie]]))</f>
        <v>55.616000000000021</v>
      </c>
      <c r="L58">
        <f>IF(fotowoltaika[[#This Row],[Saldo]]&lt;50,1,0)</f>
        <v>0</v>
      </c>
      <c r="M58">
        <f>IF(fotowoltaika[[#This Row],[Saldo]]&lt;0,1,0)</f>
        <v>0</v>
      </c>
    </row>
    <row r="59" spans="1:13" x14ac:dyDescent="0.3">
      <c r="A59" s="1">
        <v>44619</v>
      </c>
      <c r="B59" s="2">
        <v>0.26700231481481479</v>
      </c>
      <c r="C59" s="2">
        <v>0.71728009259259262</v>
      </c>
      <c r="D59">
        <v>0</v>
      </c>
      <c r="E59">
        <v>9.77</v>
      </c>
      <c r="F59">
        <v>3.26</v>
      </c>
      <c r="G59">
        <v>1.3</v>
      </c>
      <c r="H59">
        <f>IF(AND(fotowoltaika[[#This Row],[st_zach]]&lt;=D58,fotowoltaika[[#This Row],[produkcja]]&gt;=E58),1,0)</f>
        <v>1</v>
      </c>
      <c r="I59">
        <f>(I58+fotowoltaika[[#This Row],[czy_st_nie_wzrastal]])*fotowoltaika[[#This Row],[czy_st_nie_wzrastal]]</f>
        <v>1</v>
      </c>
      <c r="J59" s="4">
        <f>HOUR(fotowoltaika[[#This Row],[zach]]-fotowoltaika[[#This Row],[wsch]])</f>
        <v>10</v>
      </c>
      <c r="K59">
        <f>(K58+(0.8*fotowoltaika[[#This Row],[oddanie]])-(fotowoltaika[[#This Row],[pobranie]]))</f>
        <v>56.924000000000021</v>
      </c>
      <c r="L59">
        <f>IF(fotowoltaika[[#This Row],[Saldo]]&lt;50,1,0)</f>
        <v>0</v>
      </c>
      <c r="M59">
        <f>IF(fotowoltaika[[#This Row],[Saldo]]&lt;0,1,0)</f>
        <v>0</v>
      </c>
    </row>
    <row r="60" spans="1:13" x14ac:dyDescent="0.3">
      <c r="A60" s="1">
        <v>44620</v>
      </c>
      <c r="B60" s="2">
        <v>0.26548611111111109</v>
      </c>
      <c r="C60" s="2">
        <v>0.71855324074074078</v>
      </c>
      <c r="D60">
        <v>5</v>
      </c>
      <c r="E60">
        <v>2.93</v>
      </c>
      <c r="F60">
        <v>1.03</v>
      </c>
      <c r="G60">
        <v>2.99</v>
      </c>
      <c r="H60">
        <f>IF(AND(fotowoltaika[[#This Row],[st_zach]]&lt;=D59,fotowoltaika[[#This Row],[produkcja]]&gt;=E59),1,0)</f>
        <v>0</v>
      </c>
      <c r="I60">
        <f>(I59+fotowoltaika[[#This Row],[czy_st_nie_wzrastal]])*fotowoltaika[[#This Row],[czy_st_nie_wzrastal]]</f>
        <v>0</v>
      </c>
      <c r="J60" s="4">
        <f>HOUR(fotowoltaika[[#This Row],[zach]]-fotowoltaika[[#This Row],[wsch]])</f>
        <v>10</v>
      </c>
      <c r="K60">
        <f>(K59+(0.8*fotowoltaika[[#This Row],[oddanie]])-(fotowoltaika[[#This Row],[pobranie]]))</f>
        <v>54.758000000000017</v>
      </c>
      <c r="L60">
        <f>IF(fotowoltaika[[#This Row],[Saldo]]&lt;50,1,0)</f>
        <v>0</v>
      </c>
      <c r="M60">
        <f>IF(fotowoltaika[[#This Row],[Saldo]]&lt;0,1,0)</f>
        <v>0</v>
      </c>
    </row>
    <row r="61" spans="1:13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>IF(AND(fotowoltaika[[#This Row],[st_zach]]&lt;=D60,fotowoltaika[[#This Row],[produkcja]]&gt;=E60),1,0)</f>
        <v>1</v>
      </c>
      <c r="I61">
        <f>(I60+fotowoltaika[[#This Row],[czy_st_nie_wzrastal]])*fotowoltaika[[#This Row],[czy_st_nie_wzrastal]]</f>
        <v>1</v>
      </c>
      <c r="J61" s="4">
        <f>HOUR(fotowoltaika[[#This Row],[zach]]-fotowoltaika[[#This Row],[wsch]])</f>
        <v>10</v>
      </c>
      <c r="K61">
        <f>(K60+(0.8*fotowoltaika[[#This Row],[oddanie]])-(fotowoltaika[[#This Row],[pobranie]]))</f>
        <v>53.804000000000016</v>
      </c>
      <c r="L61">
        <f>IF(fotowoltaika[[#This Row],[Saldo]]&lt;50,1,0)</f>
        <v>0</v>
      </c>
      <c r="M61">
        <f>IF(fotowoltaika[[#This Row],[Saldo]]&lt;0,1,0)</f>
        <v>0</v>
      </c>
    </row>
    <row r="62" spans="1:13" x14ac:dyDescent="0.3">
      <c r="A62" s="1">
        <v>44622</v>
      </c>
      <c r="B62" s="2">
        <v>0.26243055555555556</v>
      </c>
      <c r="C62" s="2">
        <v>0.72106481481481477</v>
      </c>
      <c r="D62">
        <v>6</v>
      </c>
      <c r="E62">
        <v>2.99</v>
      </c>
      <c r="F62">
        <v>0.74</v>
      </c>
      <c r="G62">
        <v>1.48</v>
      </c>
      <c r="H62">
        <f>IF(AND(fotowoltaika[[#This Row],[st_zach]]&lt;=D61,fotowoltaika[[#This Row],[produkcja]]&gt;=E61),1,0)</f>
        <v>0</v>
      </c>
      <c r="I62">
        <f>(I61+fotowoltaika[[#This Row],[czy_st_nie_wzrastal]])*fotowoltaika[[#This Row],[czy_st_nie_wzrastal]]</f>
        <v>0</v>
      </c>
      <c r="J62" s="4">
        <f>HOUR(fotowoltaika[[#This Row],[zach]]-fotowoltaika[[#This Row],[wsch]])</f>
        <v>11</v>
      </c>
      <c r="K62">
        <f>(K61+(0.8*fotowoltaika[[#This Row],[oddanie]])-(fotowoltaika[[#This Row],[pobranie]]))</f>
        <v>52.916000000000018</v>
      </c>
      <c r="L62">
        <f>IF(fotowoltaika[[#This Row],[Saldo]]&lt;50,1,0)</f>
        <v>0</v>
      </c>
      <c r="M62">
        <f>IF(fotowoltaika[[#This Row],[Saldo]]&lt;0,1,0)</f>
        <v>0</v>
      </c>
    </row>
    <row r="63" spans="1:13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>IF(AND(fotowoltaika[[#This Row],[st_zach]]&lt;=D62,fotowoltaika[[#This Row],[produkcja]]&gt;=E62),1,0)</f>
        <v>0</v>
      </c>
      <c r="I63">
        <f>(I62+fotowoltaika[[#This Row],[czy_st_nie_wzrastal]])*fotowoltaika[[#This Row],[czy_st_nie_wzrastal]]</f>
        <v>0</v>
      </c>
      <c r="J63" s="4">
        <f>HOUR(fotowoltaika[[#This Row],[zach]]-fotowoltaika[[#This Row],[wsch]])</f>
        <v>11</v>
      </c>
      <c r="K63">
        <f>(K62+(0.8*fotowoltaika[[#This Row],[oddanie]])-(fotowoltaika[[#This Row],[pobranie]]))</f>
        <v>49.822000000000017</v>
      </c>
      <c r="L63">
        <f>IF(fotowoltaika[[#This Row],[Saldo]]&lt;50,1,0)</f>
        <v>1</v>
      </c>
      <c r="M63">
        <f>IF(fotowoltaika[[#This Row],[Saldo]]&lt;0,1,0)</f>
        <v>0</v>
      </c>
    </row>
    <row r="64" spans="1:13" x14ac:dyDescent="0.3">
      <c r="A64" s="1">
        <v>44624</v>
      </c>
      <c r="B64" s="2">
        <v>0.25934027777777779</v>
      </c>
      <c r="C64" s="2">
        <v>0.72357638888888887</v>
      </c>
      <c r="D64">
        <v>0</v>
      </c>
      <c r="E64">
        <v>9.7100000000000009</v>
      </c>
      <c r="F64">
        <v>3.95</v>
      </c>
      <c r="G64">
        <v>1.96</v>
      </c>
      <c r="H64">
        <f>IF(AND(fotowoltaika[[#This Row],[st_zach]]&lt;=D63,fotowoltaika[[#This Row],[produkcja]]&gt;=E63),1,0)</f>
        <v>1</v>
      </c>
      <c r="I64">
        <f>(I63+fotowoltaika[[#This Row],[czy_st_nie_wzrastal]])*fotowoltaika[[#This Row],[czy_st_nie_wzrastal]]</f>
        <v>1</v>
      </c>
      <c r="J64" s="4">
        <f>HOUR(fotowoltaika[[#This Row],[zach]]-fotowoltaika[[#This Row],[wsch]])</f>
        <v>11</v>
      </c>
      <c r="K64">
        <f>(K63+(0.8*fotowoltaika[[#This Row],[oddanie]])-(fotowoltaika[[#This Row],[pobranie]]))</f>
        <v>51.022000000000013</v>
      </c>
      <c r="L64">
        <f>IF(fotowoltaika[[#This Row],[Saldo]]&lt;50,1,0)</f>
        <v>0</v>
      </c>
      <c r="M64">
        <f>IF(fotowoltaika[[#This Row],[Saldo]]&lt;0,1,0)</f>
        <v>0</v>
      </c>
    </row>
    <row r="65" spans="1:13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>IF(AND(fotowoltaika[[#This Row],[st_zach]]&lt;=D64,fotowoltaika[[#This Row],[produkcja]]&gt;=E64),1,0)</f>
        <v>1</v>
      </c>
      <c r="I65">
        <f>(I64+fotowoltaika[[#This Row],[czy_st_nie_wzrastal]])*fotowoltaika[[#This Row],[czy_st_nie_wzrastal]]</f>
        <v>2</v>
      </c>
      <c r="J65" s="4">
        <f>HOUR(fotowoltaika[[#This Row],[zach]]-fotowoltaika[[#This Row],[wsch]])</f>
        <v>11</v>
      </c>
      <c r="K65">
        <f>(K64+(0.8*fotowoltaika[[#This Row],[oddanie]])-(fotowoltaika[[#This Row],[pobranie]]))</f>
        <v>51.910000000000011</v>
      </c>
      <c r="L65">
        <f>IF(fotowoltaika[[#This Row],[Saldo]]&lt;50,1,0)</f>
        <v>0</v>
      </c>
      <c r="M65">
        <f>IF(fotowoltaika[[#This Row],[Saldo]]&lt;0,1,0)</f>
        <v>0</v>
      </c>
    </row>
    <row r="66" spans="1:13" x14ac:dyDescent="0.3">
      <c r="A66" s="1">
        <v>44626</v>
      </c>
      <c r="B66" s="2">
        <v>0.25621527777777775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>IF(AND(fotowoltaika[[#This Row],[st_zach]]&lt;=D65,fotowoltaika[[#This Row],[produkcja]]&gt;=E65),1,0)</f>
        <v>0</v>
      </c>
      <c r="I66">
        <f>(I65+fotowoltaika[[#This Row],[czy_st_nie_wzrastal]])*fotowoltaika[[#This Row],[czy_st_nie_wzrastal]]</f>
        <v>0</v>
      </c>
      <c r="J66" s="4">
        <f>HOUR(fotowoltaika[[#This Row],[zach]]-fotowoltaika[[#This Row],[wsch]])</f>
        <v>11</v>
      </c>
      <c r="K66">
        <f>(K65+(0.8*fotowoltaika[[#This Row],[oddanie]])-(fotowoltaika[[#This Row],[pobranie]]))</f>
        <v>52.902000000000008</v>
      </c>
      <c r="L66">
        <f>IF(fotowoltaika[[#This Row],[Saldo]]&lt;50,1,0)</f>
        <v>0</v>
      </c>
      <c r="M66">
        <f>IF(fotowoltaika[[#This Row],[Saldo]]&lt;0,1,0)</f>
        <v>0</v>
      </c>
    </row>
    <row r="67" spans="1:13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>IF(AND(fotowoltaika[[#This Row],[st_zach]]&lt;=D66,fotowoltaika[[#This Row],[produkcja]]&gt;=E66),1,0)</f>
        <v>0</v>
      </c>
      <c r="I67">
        <f>(I66+fotowoltaika[[#This Row],[czy_st_nie_wzrastal]])*fotowoltaika[[#This Row],[czy_st_nie_wzrastal]]</f>
        <v>0</v>
      </c>
      <c r="J67" s="4">
        <f>HOUR(fotowoltaika[[#This Row],[zach]]-fotowoltaika[[#This Row],[wsch]])</f>
        <v>11</v>
      </c>
      <c r="K67">
        <f>(K66+(0.8*fotowoltaika[[#This Row],[oddanie]])-(fotowoltaika[[#This Row],[pobranie]]))</f>
        <v>51.496000000000009</v>
      </c>
      <c r="L67">
        <f>IF(fotowoltaika[[#This Row],[Saldo]]&lt;50,1,0)</f>
        <v>0</v>
      </c>
      <c r="M67">
        <f>IF(fotowoltaika[[#This Row],[Saldo]]&lt;0,1,0)</f>
        <v>0</v>
      </c>
    </row>
    <row r="68" spans="1:13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>IF(AND(fotowoltaika[[#This Row],[st_zach]]&lt;=D67,fotowoltaika[[#This Row],[produkcja]]&gt;=E67),1,0)</f>
        <v>1</v>
      </c>
      <c r="I68">
        <f>(I67+fotowoltaika[[#This Row],[czy_st_nie_wzrastal]])*fotowoltaika[[#This Row],[czy_st_nie_wzrastal]]</f>
        <v>1</v>
      </c>
      <c r="J68" s="4">
        <f>HOUR(fotowoltaika[[#This Row],[zach]]-fotowoltaika[[#This Row],[wsch]])</f>
        <v>11</v>
      </c>
      <c r="K68">
        <f>(K67+(0.8*fotowoltaika[[#This Row],[oddanie]])-(fotowoltaika[[#This Row],[pobranie]]))</f>
        <v>51.060000000000009</v>
      </c>
      <c r="L68">
        <f>IF(fotowoltaika[[#This Row],[Saldo]]&lt;50,1,0)</f>
        <v>0</v>
      </c>
      <c r="M68">
        <f>IF(fotowoltaika[[#This Row],[Saldo]]&lt;0,1,0)</f>
        <v>0</v>
      </c>
    </row>
    <row r="69" spans="1:13" x14ac:dyDescent="0.3">
      <c r="A69" s="1">
        <v>44629</v>
      </c>
      <c r="B69" s="2">
        <v>0.25148148148148147</v>
      </c>
      <c r="C69" s="2">
        <v>0.72979166666666662</v>
      </c>
      <c r="D69">
        <v>3</v>
      </c>
      <c r="E69">
        <v>3.29</v>
      </c>
      <c r="F69">
        <v>0.73</v>
      </c>
      <c r="G69">
        <v>2.4300000000000002</v>
      </c>
      <c r="H69">
        <f>IF(AND(fotowoltaika[[#This Row],[st_zach]]&lt;=D68,fotowoltaika[[#This Row],[produkcja]]&gt;=E68),1,0)</f>
        <v>0</v>
      </c>
      <c r="I69">
        <f>(I68+fotowoltaika[[#This Row],[czy_st_nie_wzrastal]])*fotowoltaika[[#This Row],[czy_st_nie_wzrastal]]</f>
        <v>0</v>
      </c>
      <c r="J69" s="4">
        <f>HOUR(fotowoltaika[[#This Row],[zach]]-fotowoltaika[[#This Row],[wsch]])</f>
        <v>11</v>
      </c>
      <c r="K69">
        <f>(K68+(0.8*fotowoltaika[[#This Row],[oddanie]])-(fotowoltaika[[#This Row],[pobranie]]))</f>
        <v>49.214000000000013</v>
      </c>
      <c r="L69">
        <f>IF(fotowoltaika[[#This Row],[Saldo]]&lt;50,1,0)</f>
        <v>1</v>
      </c>
      <c r="M69">
        <f>IF(fotowoltaika[[#This Row],[Saldo]]&lt;0,1,0)</f>
        <v>0</v>
      </c>
    </row>
    <row r="70" spans="1:13" x14ac:dyDescent="0.3">
      <c r="A70" s="1">
        <v>44630</v>
      </c>
      <c r="B70" s="2">
        <v>0.24989583333333334</v>
      </c>
      <c r="C70" s="2">
        <v>0.73103009259259255</v>
      </c>
      <c r="D70">
        <v>1</v>
      </c>
      <c r="E70">
        <v>7.92</v>
      </c>
      <c r="F70">
        <v>1.58</v>
      </c>
      <c r="G70">
        <v>1.63</v>
      </c>
      <c r="H70">
        <f>IF(AND(fotowoltaika[[#This Row],[st_zach]]&lt;=D69,fotowoltaika[[#This Row],[produkcja]]&gt;=E69),1,0)</f>
        <v>1</v>
      </c>
      <c r="I70">
        <f>(I69+fotowoltaika[[#This Row],[czy_st_nie_wzrastal]])*fotowoltaika[[#This Row],[czy_st_nie_wzrastal]]</f>
        <v>1</v>
      </c>
      <c r="J70" s="4">
        <f>HOUR(fotowoltaika[[#This Row],[zach]]-fotowoltaika[[#This Row],[wsch]])</f>
        <v>11</v>
      </c>
      <c r="K70">
        <f>(K69+(0.8*fotowoltaika[[#This Row],[oddanie]])-(fotowoltaika[[#This Row],[pobranie]]))</f>
        <v>48.848000000000013</v>
      </c>
      <c r="L70">
        <f>IF(fotowoltaika[[#This Row],[Saldo]]&lt;50,1,0)</f>
        <v>1</v>
      </c>
      <c r="M70">
        <f>IF(fotowoltaika[[#This Row],[Saldo]]&lt;0,1,0)</f>
        <v>0</v>
      </c>
    </row>
    <row r="71" spans="1:13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>IF(AND(fotowoltaika[[#This Row],[st_zach]]&lt;=D70,fotowoltaika[[#This Row],[produkcja]]&gt;=E70),1,0)</f>
        <v>0</v>
      </c>
      <c r="I71">
        <f>(I70+fotowoltaika[[#This Row],[czy_st_nie_wzrastal]])*fotowoltaika[[#This Row],[czy_st_nie_wzrastal]]</f>
        <v>0</v>
      </c>
      <c r="J71" s="4">
        <f>HOUR(fotowoltaika[[#This Row],[zach]]-fotowoltaika[[#This Row],[wsch]])</f>
        <v>11</v>
      </c>
      <c r="K71">
        <f>(K70+(0.8*fotowoltaika[[#This Row],[oddanie]])-(fotowoltaika[[#This Row],[pobranie]]))</f>
        <v>46.798000000000016</v>
      </c>
      <c r="L71">
        <f>IF(fotowoltaika[[#This Row],[Saldo]]&lt;50,1,0)</f>
        <v>1</v>
      </c>
      <c r="M71">
        <f>IF(fotowoltaika[[#This Row],[Saldo]]&lt;0,1,0)</f>
        <v>0</v>
      </c>
    </row>
    <row r="72" spans="1:13" x14ac:dyDescent="0.3">
      <c r="A72" s="1">
        <v>44632</v>
      </c>
      <c r="B72" s="2">
        <v>0.2467013888888889</v>
      </c>
      <c r="C72" s="2">
        <v>0.73348379629629634</v>
      </c>
      <c r="D72">
        <v>0</v>
      </c>
      <c r="E72">
        <v>11.09</v>
      </c>
      <c r="F72">
        <v>3.46</v>
      </c>
      <c r="G72">
        <v>1.28</v>
      </c>
      <c r="H72">
        <f>IF(AND(fotowoltaika[[#This Row],[st_zach]]&lt;=D71,fotowoltaika[[#This Row],[produkcja]]&gt;=E71),1,0)</f>
        <v>1</v>
      </c>
      <c r="I72">
        <f>(I71+fotowoltaika[[#This Row],[czy_st_nie_wzrastal]])*fotowoltaika[[#This Row],[czy_st_nie_wzrastal]]</f>
        <v>1</v>
      </c>
      <c r="J72" s="4">
        <f>HOUR(fotowoltaika[[#This Row],[zach]]-fotowoltaika[[#This Row],[wsch]])</f>
        <v>11</v>
      </c>
      <c r="K72">
        <f>(K71+(0.8*fotowoltaika[[#This Row],[oddanie]])-(fotowoltaika[[#This Row],[pobranie]]))</f>
        <v>48.286000000000016</v>
      </c>
      <c r="L72">
        <f>IF(fotowoltaika[[#This Row],[Saldo]]&lt;50,1,0)</f>
        <v>1</v>
      </c>
      <c r="M72">
        <f>IF(fotowoltaika[[#This Row],[Saldo]]&lt;0,1,0)</f>
        <v>0</v>
      </c>
    </row>
    <row r="73" spans="1:13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>IF(AND(fotowoltaika[[#This Row],[st_zach]]&lt;=D72,fotowoltaika[[#This Row],[produkcja]]&gt;=E72),1,0)</f>
        <v>1</v>
      </c>
      <c r="I73">
        <f>(I72+fotowoltaika[[#This Row],[czy_st_nie_wzrastal]])*fotowoltaika[[#This Row],[czy_st_nie_wzrastal]]</f>
        <v>2</v>
      </c>
      <c r="J73" s="4">
        <f>HOUR(fotowoltaika[[#This Row],[zach]]-fotowoltaika[[#This Row],[wsch]])</f>
        <v>11</v>
      </c>
      <c r="K73">
        <f>(K72+(0.8*fotowoltaika[[#This Row],[oddanie]])-(fotowoltaika[[#This Row],[pobranie]]))</f>
        <v>49.558000000000014</v>
      </c>
      <c r="L73">
        <f>IF(fotowoltaika[[#This Row],[Saldo]]&lt;50,1,0)</f>
        <v>1</v>
      </c>
      <c r="M73">
        <f>IF(fotowoltaika[[#This Row],[Saldo]]&lt;0,1,0)</f>
        <v>0</v>
      </c>
    </row>
    <row r="74" spans="1:13" x14ac:dyDescent="0.3">
      <c r="A74" s="1">
        <v>44634</v>
      </c>
      <c r="B74" s="2">
        <v>0.24349537037037036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>IF(AND(fotowoltaika[[#This Row],[st_zach]]&lt;=D73,fotowoltaika[[#This Row],[produkcja]]&gt;=E73),1,0)</f>
        <v>0</v>
      </c>
      <c r="I74">
        <f>(I73+fotowoltaika[[#This Row],[czy_st_nie_wzrastal]])*fotowoltaika[[#This Row],[czy_st_nie_wzrastal]]</f>
        <v>0</v>
      </c>
      <c r="J74" s="4">
        <f>HOUR(fotowoltaika[[#This Row],[zach]]-fotowoltaika[[#This Row],[wsch]])</f>
        <v>11</v>
      </c>
      <c r="K74">
        <f>(K73+(0.8*fotowoltaika[[#This Row],[oddanie]])-(fotowoltaika[[#This Row],[pobranie]]))</f>
        <v>48.610000000000014</v>
      </c>
      <c r="L74">
        <f>IF(fotowoltaika[[#This Row],[Saldo]]&lt;50,1,0)</f>
        <v>1</v>
      </c>
      <c r="M74">
        <f>IF(fotowoltaika[[#This Row],[Saldo]]&lt;0,1,0)</f>
        <v>0</v>
      </c>
    </row>
    <row r="75" spans="1:13" x14ac:dyDescent="0.3">
      <c r="A75" s="1">
        <v>44635</v>
      </c>
      <c r="B75" s="2">
        <v>0.24188657407407407</v>
      </c>
      <c r="C75" s="2">
        <v>0.73716435185185181</v>
      </c>
      <c r="D75">
        <v>6</v>
      </c>
      <c r="E75">
        <v>3.14</v>
      </c>
      <c r="F75">
        <v>1.73</v>
      </c>
      <c r="G75">
        <v>3.82</v>
      </c>
      <c r="H75">
        <f>IF(AND(fotowoltaika[[#This Row],[st_zach]]&lt;=D74,fotowoltaika[[#This Row],[produkcja]]&gt;=E74),1,0)</f>
        <v>0</v>
      </c>
      <c r="I75">
        <f>(I74+fotowoltaika[[#This Row],[czy_st_nie_wzrastal]])*fotowoltaika[[#This Row],[czy_st_nie_wzrastal]]</f>
        <v>0</v>
      </c>
      <c r="J75" s="4">
        <f>HOUR(fotowoltaika[[#This Row],[zach]]-fotowoltaika[[#This Row],[wsch]])</f>
        <v>11</v>
      </c>
      <c r="K75">
        <f>(K74+(0.8*fotowoltaika[[#This Row],[oddanie]])-(fotowoltaika[[#This Row],[pobranie]]))</f>
        <v>46.174000000000014</v>
      </c>
      <c r="L75">
        <f>IF(fotowoltaika[[#This Row],[Saldo]]&lt;50,1,0)</f>
        <v>1</v>
      </c>
      <c r="M75">
        <f>IF(fotowoltaika[[#This Row],[Saldo]]&lt;0,1,0)</f>
        <v>0</v>
      </c>
    </row>
    <row r="76" spans="1:13" x14ac:dyDescent="0.3">
      <c r="A76" s="1">
        <v>44636</v>
      </c>
      <c r="B76" s="2">
        <v>0.24027777777777778</v>
      </c>
      <c r="C76" s="2">
        <v>0.73837962962962966</v>
      </c>
      <c r="D76">
        <v>0</v>
      </c>
      <c r="E76">
        <v>12.41</v>
      </c>
      <c r="F76">
        <v>3.85</v>
      </c>
      <c r="G76">
        <v>0.67</v>
      </c>
      <c r="H76">
        <f>IF(AND(fotowoltaika[[#This Row],[st_zach]]&lt;=D75,fotowoltaika[[#This Row],[produkcja]]&gt;=E75),1,0)</f>
        <v>1</v>
      </c>
      <c r="I76">
        <f>(I75+fotowoltaika[[#This Row],[czy_st_nie_wzrastal]])*fotowoltaika[[#This Row],[czy_st_nie_wzrastal]]</f>
        <v>1</v>
      </c>
      <c r="J76" s="4">
        <f>HOUR(fotowoltaika[[#This Row],[zach]]-fotowoltaika[[#This Row],[wsch]])</f>
        <v>11</v>
      </c>
      <c r="K76">
        <f>(K75+(0.8*fotowoltaika[[#This Row],[oddanie]])-(fotowoltaika[[#This Row],[pobranie]]))</f>
        <v>48.58400000000001</v>
      </c>
      <c r="L76">
        <f>IF(fotowoltaika[[#This Row],[Saldo]]&lt;50,1,0)</f>
        <v>1</v>
      </c>
      <c r="M76">
        <f>IF(fotowoltaika[[#This Row],[Saldo]]&lt;0,1,0)</f>
        <v>0</v>
      </c>
    </row>
    <row r="77" spans="1:13" x14ac:dyDescent="0.3">
      <c r="A77" s="1">
        <v>44637</v>
      </c>
      <c r="B77" s="2">
        <v>0.23866898148148147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>IF(AND(fotowoltaika[[#This Row],[st_zach]]&lt;=D76,fotowoltaika[[#This Row],[produkcja]]&gt;=E76),1,0)</f>
        <v>0</v>
      </c>
      <c r="I77">
        <f>(I76+fotowoltaika[[#This Row],[czy_st_nie_wzrastal]])*fotowoltaika[[#This Row],[czy_st_nie_wzrastal]]</f>
        <v>0</v>
      </c>
      <c r="J77" s="4">
        <f>HOUR(fotowoltaika[[#This Row],[zach]]-fotowoltaika[[#This Row],[wsch]])</f>
        <v>12</v>
      </c>
      <c r="K77">
        <f>(K76+(0.8*fotowoltaika[[#This Row],[oddanie]])-(fotowoltaika[[#This Row],[pobranie]]))</f>
        <v>46.096000000000011</v>
      </c>
      <c r="L77">
        <f>IF(fotowoltaika[[#This Row],[Saldo]]&lt;50,1,0)</f>
        <v>1</v>
      </c>
      <c r="M77">
        <f>IF(fotowoltaika[[#This Row],[Saldo]]&lt;0,1,0)</f>
        <v>0</v>
      </c>
    </row>
    <row r="78" spans="1:13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>IF(AND(fotowoltaika[[#This Row],[st_zach]]&lt;=D77,fotowoltaika[[#This Row],[produkcja]]&gt;=E77),1,0)</f>
        <v>1</v>
      </c>
      <c r="I78">
        <f>(I77+fotowoltaika[[#This Row],[czy_st_nie_wzrastal]])*fotowoltaika[[#This Row],[czy_st_nie_wzrastal]]</f>
        <v>1</v>
      </c>
      <c r="J78" s="4">
        <f>HOUR(fotowoltaika[[#This Row],[zach]]-fotowoltaika[[#This Row],[wsch]])</f>
        <v>12</v>
      </c>
      <c r="K78">
        <f>(K77+(0.8*fotowoltaika[[#This Row],[oddanie]])-(fotowoltaika[[#This Row],[pobranie]]))</f>
        <v>47.552000000000014</v>
      </c>
      <c r="L78">
        <f>IF(fotowoltaika[[#This Row],[Saldo]]&lt;50,1,0)</f>
        <v>1</v>
      </c>
      <c r="M78">
        <f>IF(fotowoltaika[[#This Row],[Saldo]]&lt;0,1,0)</f>
        <v>0</v>
      </c>
    </row>
    <row r="79" spans="1:13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>IF(AND(fotowoltaika[[#This Row],[st_zach]]&lt;=D78,fotowoltaika[[#This Row],[produkcja]]&gt;=E78),1,0)</f>
        <v>1</v>
      </c>
      <c r="I79">
        <f>(I78+fotowoltaika[[#This Row],[czy_st_nie_wzrastal]])*fotowoltaika[[#This Row],[czy_st_nie_wzrastal]]</f>
        <v>2</v>
      </c>
      <c r="J79" s="4">
        <f>HOUR(fotowoltaika[[#This Row],[zach]]-fotowoltaika[[#This Row],[wsch]])</f>
        <v>12</v>
      </c>
      <c r="K79">
        <f>(K78+(0.8*fotowoltaika[[#This Row],[oddanie]])-(fotowoltaika[[#This Row],[pobranie]]))</f>
        <v>50.164000000000016</v>
      </c>
      <c r="L79">
        <f>IF(fotowoltaika[[#This Row],[Saldo]]&lt;50,1,0)</f>
        <v>0</v>
      </c>
      <c r="M79">
        <f>IF(fotowoltaika[[#This Row],[Saldo]]&lt;0,1,0)</f>
        <v>0</v>
      </c>
    </row>
    <row r="80" spans="1:13" x14ac:dyDescent="0.3">
      <c r="A80" s="1">
        <v>44640</v>
      </c>
      <c r="B80" s="2">
        <v>0.23380787037037037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>IF(AND(fotowoltaika[[#This Row],[st_zach]]&lt;=D79,fotowoltaika[[#This Row],[produkcja]]&gt;=E79),1,0)</f>
        <v>0</v>
      </c>
      <c r="I80">
        <f>(I79+fotowoltaika[[#This Row],[czy_st_nie_wzrastal]])*fotowoltaika[[#This Row],[czy_st_nie_wzrastal]]</f>
        <v>0</v>
      </c>
      <c r="J80" s="4">
        <f>HOUR(fotowoltaika[[#This Row],[zach]]-fotowoltaika[[#This Row],[wsch]])</f>
        <v>12</v>
      </c>
      <c r="K80">
        <f>(K79+(0.8*fotowoltaika[[#This Row],[oddanie]])-(fotowoltaika[[#This Row],[pobranie]]))</f>
        <v>52.240000000000016</v>
      </c>
      <c r="L80">
        <f>IF(fotowoltaika[[#This Row],[Saldo]]&lt;50,1,0)</f>
        <v>0</v>
      </c>
      <c r="M80">
        <f>IF(fotowoltaika[[#This Row],[Saldo]]&lt;0,1,0)</f>
        <v>0</v>
      </c>
    </row>
    <row r="81" spans="1:13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>IF(AND(fotowoltaika[[#This Row],[st_zach]]&lt;=D80,fotowoltaika[[#This Row],[produkcja]]&gt;=E80),1,0)</f>
        <v>0</v>
      </c>
      <c r="I81">
        <f>(I80+fotowoltaika[[#This Row],[czy_st_nie_wzrastal]])*fotowoltaika[[#This Row],[czy_st_nie_wzrastal]]</f>
        <v>0</v>
      </c>
      <c r="J81" s="4">
        <f>HOUR(fotowoltaika[[#This Row],[zach]]-fotowoltaika[[#This Row],[wsch]])</f>
        <v>12</v>
      </c>
      <c r="K81">
        <f>(K80+(0.8*fotowoltaika[[#This Row],[oddanie]])-(fotowoltaika[[#This Row],[pobranie]]))</f>
        <v>50.070000000000014</v>
      </c>
      <c r="L81">
        <f>IF(fotowoltaika[[#This Row],[Saldo]]&lt;50,1,0)</f>
        <v>0</v>
      </c>
      <c r="M81">
        <f>IF(fotowoltaika[[#This Row],[Saldo]]&lt;0,1,0)</f>
        <v>0</v>
      </c>
    </row>
    <row r="82" spans="1:13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>IF(AND(fotowoltaika[[#This Row],[st_zach]]&lt;=D81,fotowoltaika[[#This Row],[produkcja]]&gt;=E81),1,0)</f>
        <v>0</v>
      </c>
      <c r="I82">
        <f>(I81+fotowoltaika[[#This Row],[czy_st_nie_wzrastal]])*fotowoltaika[[#This Row],[czy_st_nie_wzrastal]]</f>
        <v>0</v>
      </c>
      <c r="J82" s="4">
        <f>HOUR(fotowoltaika[[#This Row],[zach]]-fotowoltaika[[#This Row],[wsch]])</f>
        <v>12</v>
      </c>
      <c r="K82">
        <f>(K81+(0.8*fotowoltaika[[#This Row],[oddanie]])-(fotowoltaika[[#This Row],[pobranie]]))</f>
        <v>48.018000000000015</v>
      </c>
      <c r="L82">
        <f>IF(fotowoltaika[[#This Row],[Saldo]]&lt;50,1,0)</f>
        <v>1</v>
      </c>
      <c r="M82">
        <f>IF(fotowoltaika[[#This Row],[Saldo]]&lt;0,1,0)</f>
        <v>0</v>
      </c>
    </row>
    <row r="83" spans="1:13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>IF(AND(fotowoltaika[[#This Row],[st_zach]]&lt;=D82,fotowoltaika[[#This Row],[produkcja]]&gt;=E82),1,0)</f>
        <v>1</v>
      </c>
      <c r="I83">
        <f>(I82+fotowoltaika[[#This Row],[czy_st_nie_wzrastal]])*fotowoltaika[[#This Row],[czy_st_nie_wzrastal]]</f>
        <v>1</v>
      </c>
      <c r="J83" s="4">
        <f>HOUR(fotowoltaika[[#This Row],[zach]]-fotowoltaika[[#This Row],[wsch]])</f>
        <v>12</v>
      </c>
      <c r="K83">
        <f>(K82+(0.8*fotowoltaika[[#This Row],[oddanie]])-(fotowoltaika[[#This Row],[pobranie]]))</f>
        <v>49.404000000000011</v>
      </c>
      <c r="L83">
        <f>IF(fotowoltaika[[#This Row],[Saldo]]&lt;50,1,0)</f>
        <v>1</v>
      </c>
      <c r="M83">
        <f>IF(fotowoltaika[[#This Row],[Saldo]]&lt;0,1,0)</f>
        <v>0</v>
      </c>
    </row>
    <row r="84" spans="1:13" x14ac:dyDescent="0.3">
      <c r="A84" s="1">
        <v>44644</v>
      </c>
      <c r="B84" s="2">
        <v>0.2273148148148148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>IF(AND(fotowoltaika[[#This Row],[st_zach]]&lt;=D83,fotowoltaika[[#This Row],[produkcja]]&gt;=E83),1,0)</f>
        <v>1</v>
      </c>
      <c r="I84">
        <f>(I83+fotowoltaika[[#This Row],[czy_st_nie_wzrastal]])*fotowoltaika[[#This Row],[czy_st_nie_wzrastal]]</f>
        <v>2</v>
      </c>
      <c r="J84" s="4">
        <f>HOUR(fotowoltaika[[#This Row],[zach]]-fotowoltaika[[#This Row],[wsch]])</f>
        <v>12</v>
      </c>
      <c r="K84">
        <f>(K83+(0.8*fotowoltaika[[#This Row],[oddanie]])-(fotowoltaika[[#This Row],[pobranie]]))</f>
        <v>51.306000000000012</v>
      </c>
      <c r="L84">
        <f>IF(fotowoltaika[[#This Row],[Saldo]]&lt;50,1,0)</f>
        <v>0</v>
      </c>
      <c r="M84">
        <f>IF(fotowoltaika[[#This Row],[Saldo]]&lt;0,1,0)</f>
        <v>0</v>
      </c>
    </row>
    <row r="85" spans="1:13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>IF(AND(fotowoltaika[[#This Row],[st_zach]]&lt;=D84,fotowoltaika[[#This Row],[produkcja]]&gt;=E84),1,0)</f>
        <v>0</v>
      </c>
      <c r="I85">
        <f>(I84+fotowoltaika[[#This Row],[czy_st_nie_wzrastal]])*fotowoltaika[[#This Row],[czy_st_nie_wzrastal]]</f>
        <v>0</v>
      </c>
      <c r="J85" s="4">
        <f>HOUR(fotowoltaika[[#This Row],[zach]]-fotowoltaika[[#This Row],[wsch]])</f>
        <v>12</v>
      </c>
      <c r="K85">
        <f>(K84+(0.8*fotowoltaika[[#This Row],[oddanie]])-(fotowoltaika[[#This Row],[pobranie]]))</f>
        <v>49.878000000000014</v>
      </c>
      <c r="L85">
        <f>IF(fotowoltaika[[#This Row],[Saldo]]&lt;50,1,0)</f>
        <v>1</v>
      </c>
      <c r="M85">
        <f>IF(fotowoltaika[[#This Row],[Saldo]]&lt;0,1,0)</f>
        <v>0</v>
      </c>
    </row>
    <row r="86" spans="1:13" x14ac:dyDescent="0.3">
      <c r="A86" s="1">
        <v>44646</v>
      </c>
      <c r="B86" s="2">
        <v>0.2240625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>IF(AND(fotowoltaika[[#This Row],[st_zach]]&lt;=D85,fotowoltaika[[#This Row],[produkcja]]&gt;=E85),1,0)</f>
        <v>1</v>
      </c>
      <c r="I86">
        <f>(I85+fotowoltaika[[#This Row],[czy_st_nie_wzrastal]])*fotowoltaika[[#This Row],[czy_st_nie_wzrastal]]</f>
        <v>1</v>
      </c>
      <c r="J86" s="4">
        <f>HOUR(fotowoltaika[[#This Row],[zach]]-fotowoltaika[[#This Row],[wsch]])</f>
        <v>12</v>
      </c>
      <c r="K86">
        <f>(K85+(0.8*fotowoltaika[[#This Row],[oddanie]])-(fotowoltaika[[#This Row],[pobranie]]))</f>
        <v>51.906000000000013</v>
      </c>
      <c r="L86">
        <f>IF(fotowoltaika[[#This Row],[Saldo]]&lt;50,1,0)</f>
        <v>0</v>
      </c>
      <c r="M86">
        <f>IF(fotowoltaika[[#This Row],[Saldo]]&lt;0,1,0)</f>
        <v>0</v>
      </c>
    </row>
    <row r="87" spans="1:13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>IF(AND(fotowoltaika[[#This Row],[st_zach]]&lt;=D86,fotowoltaika[[#This Row],[produkcja]]&gt;=E86),1,0)</f>
        <v>0</v>
      </c>
      <c r="I87">
        <f>(I86+fotowoltaika[[#This Row],[czy_st_nie_wzrastal]])*fotowoltaika[[#This Row],[czy_st_nie_wzrastal]]</f>
        <v>0</v>
      </c>
      <c r="J87" s="4">
        <f>HOUR(fotowoltaika[[#This Row],[zach]]-fotowoltaika[[#This Row],[wsch]])</f>
        <v>12</v>
      </c>
      <c r="K87">
        <f>(K86+(0.8*fotowoltaika[[#This Row],[oddanie]])-(fotowoltaika[[#This Row],[pobranie]]))</f>
        <v>52.460000000000015</v>
      </c>
      <c r="L87">
        <f>IF(fotowoltaika[[#This Row],[Saldo]]&lt;50,1,0)</f>
        <v>0</v>
      </c>
      <c r="M87">
        <f>IF(fotowoltaika[[#This Row],[Saldo]]&lt;0,1,0)</f>
        <v>0</v>
      </c>
    </row>
    <row r="88" spans="1:13" x14ac:dyDescent="0.3">
      <c r="A88" s="1">
        <v>44648</v>
      </c>
      <c r="B88" s="2">
        <v>0.26248842592592592</v>
      </c>
      <c r="C88" s="2">
        <v>0.79456018518518523</v>
      </c>
      <c r="D88">
        <v>4</v>
      </c>
      <c r="E88">
        <v>4.42</v>
      </c>
      <c r="F88">
        <v>3.15</v>
      </c>
      <c r="G88">
        <v>3.62</v>
      </c>
      <c r="H88">
        <f>IF(AND(fotowoltaika[[#This Row],[st_zach]]&lt;=D87,fotowoltaika[[#This Row],[produkcja]]&gt;=E87),1,0)</f>
        <v>0</v>
      </c>
      <c r="I88">
        <f>(I87+fotowoltaika[[#This Row],[czy_st_nie_wzrastal]])*fotowoltaika[[#This Row],[czy_st_nie_wzrastal]]</f>
        <v>0</v>
      </c>
      <c r="J88" s="4">
        <f>HOUR(fotowoltaika[[#This Row],[zach]]-fotowoltaika[[#This Row],[wsch]])</f>
        <v>12</v>
      </c>
      <c r="K88">
        <f>(K87+(0.8*fotowoltaika[[#This Row],[oddanie]])-(fotowoltaika[[#This Row],[pobranie]]))</f>
        <v>51.360000000000021</v>
      </c>
      <c r="L88">
        <f>IF(fotowoltaika[[#This Row],[Saldo]]&lt;50,1,0)</f>
        <v>0</v>
      </c>
      <c r="M88">
        <f>IF(fotowoltaika[[#This Row],[Saldo]]&lt;0,1,0)</f>
        <v>0</v>
      </c>
    </row>
    <row r="89" spans="1:13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>IF(AND(fotowoltaika[[#This Row],[st_zach]]&lt;=D88,fotowoltaika[[#This Row],[produkcja]]&gt;=E88),1,0)</f>
        <v>0</v>
      </c>
      <c r="I89">
        <f>(I88+fotowoltaika[[#This Row],[czy_st_nie_wzrastal]])*fotowoltaika[[#This Row],[czy_st_nie_wzrastal]]</f>
        <v>0</v>
      </c>
      <c r="J89" s="4">
        <f>HOUR(fotowoltaika[[#This Row],[zach]]-fotowoltaika[[#This Row],[wsch]])</f>
        <v>12</v>
      </c>
      <c r="K89">
        <f>(K88+(0.8*fotowoltaika[[#This Row],[oddanie]])-(fotowoltaika[[#This Row],[pobranie]]))</f>
        <v>48.950000000000017</v>
      </c>
      <c r="L89">
        <f>IF(fotowoltaika[[#This Row],[Saldo]]&lt;50,1,0)</f>
        <v>1</v>
      </c>
      <c r="M89">
        <f>IF(fotowoltaika[[#This Row],[Saldo]]&lt;0,1,0)</f>
        <v>0</v>
      </c>
    </row>
    <row r="90" spans="1:13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>IF(AND(fotowoltaika[[#This Row],[st_zach]]&lt;=D89,fotowoltaika[[#This Row],[produkcja]]&gt;=E89),1,0)</f>
        <v>1</v>
      </c>
      <c r="I90">
        <f>(I89+fotowoltaika[[#This Row],[czy_st_nie_wzrastal]])*fotowoltaika[[#This Row],[czy_st_nie_wzrastal]]</f>
        <v>1</v>
      </c>
      <c r="J90" s="4">
        <f>HOUR(fotowoltaika[[#This Row],[zach]]-fotowoltaika[[#This Row],[wsch]])</f>
        <v>12</v>
      </c>
      <c r="K90">
        <f>(K89+(0.8*fotowoltaika[[#This Row],[oddanie]])-(fotowoltaika[[#This Row],[pobranie]]))</f>
        <v>49.972000000000016</v>
      </c>
      <c r="L90">
        <f>IF(fotowoltaika[[#This Row],[Saldo]]&lt;50,1,0)</f>
        <v>1</v>
      </c>
      <c r="M90">
        <f>IF(fotowoltaika[[#This Row],[Saldo]]&lt;0,1,0)</f>
        <v>0</v>
      </c>
    </row>
    <row r="91" spans="1:13" x14ac:dyDescent="0.3">
      <c r="A91" s="1">
        <v>44651</v>
      </c>
      <c r="B91" s="2">
        <v>0.25763888888888886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>IF(AND(fotowoltaika[[#This Row],[st_zach]]&lt;=D90,fotowoltaika[[#This Row],[produkcja]]&gt;=E90),1,0)</f>
        <v>0</v>
      </c>
      <c r="I91">
        <f>(I90+fotowoltaika[[#This Row],[czy_st_nie_wzrastal]])*fotowoltaika[[#This Row],[czy_st_nie_wzrastal]]</f>
        <v>0</v>
      </c>
      <c r="J91" s="4">
        <f>HOUR(fotowoltaika[[#This Row],[zach]]-fotowoltaika[[#This Row],[wsch]])</f>
        <v>12</v>
      </c>
      <c r="K91">
        <f>(K90+(0.8*fotowoltaika[[#This Row],[oddanie]])-(fotowoltaika[[#This Row],[pobranie]]))</f>
        <v>50.248000000000019</v>
      </c>
      <c r="L91">
        <f>IF(fotowoltaika[[#This Row],[Saldo]]&lt;50,1,0)</f>
        <v>0</v>
      </c>
      <c r="M91">
        <f>IF(fotowoltaika[[#This Row],[Saldo]]&lt;0,1,0)</f>
        <v>0</v>
      </c>
    </row>
    <row r="92" spans="1:13" x14ac:dyDescent="0.3">
      <c r="A92" s="1">
        <v>44652</v>
      </c>
      <c r="B92" s="2">
        <v>0.25601851851851853</v>
      </c>
      <c r="C92" s="2">
        <v>0.79936342592592591</v>
      </c>
      <c r="D92">
        <v>3</v>
      </c>
      <c r="E92">
        <v>5.21</v>
      </c>
      <c r="F92">
        <v>2.46</v>
      </c>
      <c r="G92">
        <v>2.89</v>
      </c>
      <c r="H92">
        <f>IF(AND(fotowoltaika[[#This Row],[st_zach]]&lt;=D91,fotowoltaika[[#This Row],[produkcja]]&gt;=E91),1,0)</f>
        <v>0</v>
      </c>
      <c r="I92">
        <f>(I91+fotowoltaika[[#This Row],[czy_st_nie_wzrastal]])*fotowoltaika[[#This Row],[czy_st_nie_wzrastal]]</f>
        <v>0</v>
      </c>
      <c r="J92" s="4">
        <f>HOUR(fotowoltaika[[#This Row],[zach]]-fotowoltaika[[#This Row],[wsch]])</f>
        <v>13</v>
      </c>
      <c r="K92">
        <f>(K91+(0.8*fotowoltaika[[#This Row],[oddanie]])-(fotowoltaika[[#This Row],[pobranie]]))</f>
        <v>49.326000000000022</v>
      </c>
      <c r="L92">
        <f>IF(fotowoltaika[[#This Row],[Saldo]]&lt;50,1,0)</f>
        <v>1</v>
      </c>
      <c r="M92">
        <f>IF(fotowoltaika[[#This Row],[Saldo]]&lt;0,1,0)</f>
        <v>0</v>
      </c>
    </row>
    <row r="93" spans="1:13" x14ac:dyDescent="0.3">
      <c r="A93" s="1">
        <v>44653</v>
      </c>
      <c r="B93" s="2">
        <v>0.25440972222222225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>IF(AND(fotowoltaika[[#This Row],[st_zach]]&lt;=D92,fotowoltaika[[#This Row],[produkcja]]&gt;=E92),1,0)</f>
        <v>1</v>
      </c>
      <c r="I93">
        <f>(I92+fotowoltaika[[#This Row],[czy_st_nie_wzrastal]])*fotowoltaika[[#This Row],[czy_st_nie_wzrastal]]</f>
        <v>1</v>
      </c>
      <c r="J93" s="4">
        <f>HOUR(fotowoltaika[[#This Row],[zach]]-fotowoltaika[[#This Row],[wsch]])</f>
        <v>13</v>
      </c>
      <c r="K93">
        <f>(K92+(0.8*fotowoltaika[[#This Row],[oddanie]])-(fotowoltaika[[#This Row],[pobranie]]))</f>
        <v>50.758000000000024</v>
      </c>
      <c r="L93">
        <f>IF(fotowoltaika[[#This Row],[Saldo]]&lt;50,1,0)</f>
        <v>0</v>
      </c>
      <c r="M93">
        <f>IF(fotowoltaika[[#This Row],[Saldo]]&lt;0,1,0)</f>
        <v>0</v>
      </c>
    </row>
    <row r="94" spans="1:13" x14ac:dyDescent="0.3">
      <c r="A94" s="1">
        <v>44654</v>
      </c>
      <c r="B94" s="2">
        <v>0.2528009259259259</v>
      </c>
      <c r="C94" s="2">
        <v>0.80175925925925928</v>
      </c>
      <c r="D94">
        <v>6</v>
      </c>
      <c r="E94">
        <v>2.3199999999999998</v>
      </c>
      <c r="F94">
        <v>1.08</v>
      </c>
      <c r="G94">
        <v>4.09</v>
      </c>
      <c r="H94">
        <f>IF(AND(fotowoltaika[[#This Row],[st_zach]]&lt;=D93,fotowoltaika[[#This Row],[produkcja]]&gt;=E93),1,0)</f>
        <v>0</v>
      </c>
      <c r="I94">
        <f>(I93+fotowoltaika[[#This Row],[czy_st_nie_wzrastal]])*fotowoltaika[[#This Row],[czy_st_nie_wzrastal]]</f>
        <v>0</v>
      </c>
      <c r="J94" s="4">
        <f>HOUR(fotowoltaika[[#This Row],[zach]]-fotowoltaika[[#This Row],[wsch]])</f>
        <v>13</v>
      </c>
      <c r="K94">
        <f>(K93+(0.8*fotowoltaika[[#This Row],[oddanie]])-(fotowoltaika[[#This Row],[pobranie]]))</f>
        <v>47.532000000000025</v>
      </c>
      <c r="L94">
        <f>IF(fotowoltaika[[#This Row],[Saldo]]&lt;50,1,0)</f>
        <v>1</v>
      </c>
      <c r="M94">
        <f>IF(fotowoltaika[[#This Row],[Saldo]]&lt;0,1,0)</f>
        <v>0</v>
      </c>
    </row>
    <row r="95" spans="1:13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>IF(AND(fotowoltaika[[#This Row],[st_zach]]&lt;=D94,fotowoltaika[[#This Row],[produkcja]]&gt;=E94),1,0)</f>
        <v>1</v>
      </c>
      <c r="I95">
        <f>(I94+fotowoltaika[[#This Row],[czy_st_nie_wzrastal]])*fotowoltaika[[#This Row],[czy_st_nie_wzrastal]]</f>
        <v>1</v>
      </c>
      <c r="J95" s="4">
        <f>HOUR(fotowoltaika[[#This Row],[zach]]-fotowoltaika[[#This Row],[wsch]])</f>
        <v>13</v>
      </c>
      <c r="K95">
        <f>(K94+(0.8*fotowoltaika[[#This Row],[oddanie]])-(fotowoltaika[[#This Row],[pobranie]]))</f>
        <v>48.122000000000028</v>
      </c>
      <c r="L95">
        <f>IF(fotowoltaika[[#This Row],[Saldo]]&lt;50,1,0)</f>
        <v>1</v>
      </c>
      <c r="M95">
        <f>IF(fotowoltaika[[#This Row],[Saldo]]&lt;0,1,0)</f>
        <v>0</v>
      </c>
    </row>
    <row r="96" spans="1:13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>IF(AND(fotowoltaika[[#This Row],[st_zach]]&lt;=D95,fotowoltaika[[#This Row],[produkcja]]&gt;=E95),1,0)</f>
        <v>0</v>
      </c>
      <c r="I96">
        <f>(I95+fotowoltaika[[#This Row],[czy_st_nie_wzrastal]])*fotowoltaika[[#This Row],[czy_st_nie_wzrastal]]</f>
        <v>0</v>
      </c>
      <c r="J96" s="4">
        <f>HOUR(fotowoltaika[[#This Row],[zach]]-fotowoltaika[[#This Row],[wsch]])</f>
        <v>13</v>
      </c>
      <c r="K96">
        <f>(K95+(0.8*fotowoltaika[[#This Row],[oddanie]])-(fotowoltaika[[#This Row],[pobranie]]))</f>
        <v>47.438000000000031</v>
      </c>
      <c r="L96">
        <f>IF(fotowoltaika[[#This Row],[Saldo]]&lt;50,1,0)</f>
        <v>1</v>
      </c>
      <c r="M96">
        <f>IF(fotowoltaika[[#This Row],[Saldo]]&lt;0,1,0)</f>
        <v>0</v>
      </c>
    </row>
    <row r="97" spans="1:13" x14ac:dyDescent="0.3">
      <c r="A97" s="1">
        <v>44657</v>
      </c>
      <c r="B97" s="2">
        <v>0.24800925925925926</v>
      </c>
      <c r="C97" s="2">
        <v>0.80535879629629625</v>
      </c>
      <c r="D97">
        <v>4</v>
      </c>
      <c r="E97">
        <v>3.57</v>
      </c>
      <c r="F97">
        <v>0.16</v>
      </c>
      <c r="G97">
        <v>2.94</v>
      </c>
      <c r="H97">
        <f>IF(AND(fotowoltaika[[#This Row],[st_zach]]&lt;=D96,fotowoltaika[[#This Row],[produkcja]]&gt;=E96),1,0)</f>
        <v>0</v>
      </c>
      <c r="I97">
        <f>(I96+fotowoltaika[[#This Row],[czy_st_nie_wzrastal]])*fotowoltaika[[#This Row],[czy_st_nie_wzrastal]]</f>
        <v>0</v>
      </c>
      <c r="J97" s="4">
        <f>HOUR(fotowoltaika[[#This Row],[zach]]-fotowoltaika[[#This Row],[wsch]])</f>
        <v>13</v>
      </c>
      <c r="K97">
        <f>(K96+(0.8*fotowoltaika[[#This Row],[oddanie]])-(fotowoltaika[[#This Row],[pobranie]]))</f>
        <v>44.626000000000033</v>
      </c>
      <c r="L97">
        <f>IF(fotowoltaika[[#This Row],[Saldo]]&lt;50,1,0)</f>
        <v>1</v>
      </c>
      <c r="M97">
        <f>IF(fotowoltaika[[#This Row],[Saldo]]&lt;0,1,0)</f>
        <v>0</v>
      </c>
    </row>
    <row r="98" spans="1:13" x14ac:dyDescent="0.3">
      <c r="A98" s="1">
        <v>44658</v>
      </c>
      <c r="B98" s="2">
        <v>0.24641203703703704</v>
      </c>
      <c r="C98" s="2">
        <v>0.80656249999999996</v>
      </c>
      <c r="D98">
        <v>2</v>
      </c>
      <c r="E98">
        <v>6.61</v>
      </c>
      <c r="F98">
        <v>2.5099999999999998</v>
      </c>
      <c r="G98">
        <v>1.34</v>
      </c>
      <c r="H98">
        <f>IF(AND(fotowoltaika[[#This Row],[st_zach]]&lt;=D97,fotowoltaika[[#This Row],[produkcja]]&gt;=E97),1,0)</f>
        <v>1</v>
      </c>
      <c r="I98">
        <f>(I97+fotowoltaika[[#This Row],[czy_st_nie_wzrastal]])*fotowoltaika[[#This Row],[czy_st_nie_wzrastal]]</f>
        <v>1</v>
      </c>
      <c r="J98" s="4">
        <f>HOUR(fotowoltaika[[#This Row],[zach]]-fotowoltaika[[#This Row],[wsch]])</f>
        <v>13</v>
      </c>
      <c r="K98">
        <f>(K97+(0.8*fotowoltaika[[#This Row],[oddanie]])-(fotowoltaika[[#This Row],[pobranie]]))</f>
        <v>45.294000000000032</v>
      </c>
      <c r="L98">
        <f>IF(fotowoltaika[[#This Row],[Saldo]]&lt;50,1,0)</f>
        <v>1</v>
      </c>
      <c r="M98">
        <f>IF(fotowoltaika[[#This Row],[Saldo]]&lt;0,1,0)</f>
        <v>0</v>
      </c>
    </row>
    <row r="99" spans="1:13" x14ac:dyDescent="0.3">
      <c r="A99" s="1">
        <v>44659</v>
      </c>
      <c r="B99" s="2">
        <v>0.24482638888888889</v>
      </c>
      <c r="C99" s="2">
        <v>0.80775462962962963</v>
      </c>
      <c r="D99">
        <v>0</v>
      </c>
      <c r="E99">
        <v>14.15</v>
      </c>
      <c r="F99">
        <v>3.32</v>
      </c>
      <c r="G99">
        <v>1.82</v>
      </c>
      <c r="H99">
        <f>IF(AND(fotowoltaika[[#This Row],[st_zach]]&lt;=D98,fotowoltaika[[#This Row],[produkcja]]&gt;=E98),1,0)</f>
        <v>1</v>
      </c>
      <c r="I99">
        <f>(I98+fotowoltaika[[#This Row],[czy_st_nie_wzrastal]])*fotowoltaika[[#This Row],[czy_st_nie_wzrastal]]</f>
        <v>2</v>
      </c>
      <c r="J99" s="4">
        <f>HOUR(fotowoltaika[[#This Row],[zach]]-fotowoltaika[[#This Row],[wsch]])</f>
        <v>13</v>
      </c>
      <c r="K99">
        <f>(K98+(0.8*fotowoltaika[[#This Row],[oddanie]])-(fotowoltaika[[#This Row],[pobranie]]))</f>
        <v>46.130000000000031</v>
      </c>
      <c r="L99">
        <f>IF(fotowoltaika[[#This Row],[Saldo]]&lt;50,1,0)</f>
        <v>1</v>
      </c>
      <c r="M99">
        <f>IF(fotowoltaika[[#This Row],[Saldo]]&lt;0,1,0)</f>
        <v>0</v>
      </c>
    </row>
    <row r="100" spans="1:13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>IF(AND(fotowoltaika[[#This Row],[st_zach]]&lt;=D99,fotowoltaika[[#This Row],[produkcja]]&gt;=E99),1,0)</f>
        <v>0</v>
      </c>
      <c r="I100">
        <f>(I99+fotowoltaika[[#This Row],[czy_st_nie_wzrastal]])*fotowoltaika[[#This Row],[czy_st_nie_wzrastal]]</f>
        <v>0</v>
      </c>
      <c r="J100" s="4">
        <f>HOUR(fotowoltaika[[#This Row],[zach]]-fotowoltaika[[#This Row],[wsch]])</f>
        <v>13</v>
      </c>
      <c r="K100">
        <f>(K99+(0.8*fotowoltaika[[#This Row],[oddanie]])-(fotowoltaika[[#This Row],[pobranie]]))</f>
        <v>44.628000000000036</v>
      </c>
      <c r="L100">
        <f>IF(fotowoltaika[[#This Row],[Saldo]]&lt;50,1,0)</f>
        <v>1</v>
      </c>
      <c r="M100">
        <f>IF(fotowoltaika[[#This Row],[Saldo]]&lt;0,1,0)</f>
        <v>0</v>
      </c>
    </row>
    <row r="101" spans="1:13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>IF(AND(fotowoltaika[[#This Row],[st_zach]]&lt;=D100,fotowoltaika[[#This Row],[produkcja]]&gt;=E100),1,0)</f>
        <v>0</v>
      </c>
      <c r="I101">
        <f>(I100+fotowoltaika[[#This Row],[czy_st_nie_wzrastal]])*fotowoltaika[[#This Row],[czy_st_nie_wzrastal]]</f>
        <v>0</v>
      </c>
      <c r="J101" s="4">
        <f>HOUR(fotowoltaika[[#This Row],[zach]]-fotowoltaika[[#This Row],[wsch]])</f>
        <v>13</v>
      </c>
      <c r="K101">
        <f>(K100+(0.8*fotowoltaika[[#This Row],[oddanie]])-(fotowoltaika[[#This Row],[pobranie]]))</f>
        <v>44.54800000000003</v>
      </c>
      <c r="L101">
        <f>IF(fotowoltaika[[#This Row],[Saldo]]&lt;50,1,0)</f>
        <v>1</v>
      </c>
      <c r="M101">
        <f>IF(fotowoltaika[[#This Row],[Saldo]]&lt;0,1,0)</f>
        <v>0</v>
      </c>
    </row>
    <row r="102" spans="1:13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>IF(AND(fotowoltaika[[#This Row],[st_zach]]&lt;=D101,fotowoltaika[[#This Row],[produkcja]]&gt;=E101),1,0)</f>
        <v>0</v>
      </c>
      <c r="I102">
        <f>(I101+fotowoltaika[[#This Row],[czy_st_nie_wzrastal]])*fotowoltaika[[#This Row],[czy_st_nie_wzrastal]]</f>
        <v>0</v>
      </c>
      <c r="J102" s="4">
        <f>HOUR(fotowoltaika[[#This Row],[zach]]-fotowoltaika[[#This Row],[wsch]])</f>
        <v>13</v>
      </c>
      <c r="K102">
        <f>(K101+(0.8*fotowoltaika[[#This Row],[oddanie]])-(fotowoltaika[[#This Row],[pobranie]]))</f>
        <v>42.74000000000003</v>
      </c>
      <c r="L102">
        <f>IF(fotowoltaika[[#This Row],[Saldo]]&lt;50,1,0)</f>
        <v>1</v>
      </c>
      <c r="M102">
        <f>IF(fotowoltaika[[#This Row],[Saldo]]&lt;0,1,0)</f>
        <v>0</v>
      </c>
    </row>
    <row r="103" spans="1:13" x14ac:dyDescent="0.3">
      <c r="A103" s="1">
        <v>44663</v>
      </c>
      <c r="B103" s="2">
        <v>0.23854166666666668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>IF(AND(fotowoltaika[[#This Row],[st_zach]]&lt;=D102,fotowoltaika[[#This Row],[produkcja]]&gt;=E102),1,0)</f>
        <v>1</v>
      </c>
      <c r="I103">
        <f>(I102+fotowoltaika[[#This Row],[czy_st_nie_wzrastal]])*fotowoltaika[[#This Row],[czy_st_nie_wzrastal]]</f>
        <v>1</v>
      </c>
      <c r="J103" s="4">
        <f>HOUR(fotowoltaika[[#This Row],[zach]]-fotowoltaika[[#This Row],[wsch]])</f>
        <v>13</v>
      </c>
      <c r="K103">
        <f>(K102+(0.8*fotowoltaika[[#This Row],[oddanie]])-(fotowoltaika[[#This Row],[pobranie]]))</f>
        <v>42.722000000000037</v>
      </c>
      <c r="L103">
        <f>IF(fotowoltaika[[#This Row],[Saldo]]&lt;50,1,0)</f>
        <v>1</v>
      </c>
      <c r="M103">
        <f>IF(fotowoltaika[[#This Row],[Saldo]]&lt;0,1,0)</f>
        <v>0</v>
      </c>
    </row>
    <row r="104" spans="1:13" x14ac:dyDescent="0.3">
      <c r="A104" s="1">
        <v>44664</v>
      </c>
      <c r="B104" s="2">
        <v>0.23699074074074075</v>
      </c>
      <c r="C104" s="2">
        <v>0.81376157407407412</v>
      </c>
      <c r="D104">
        <v>1</v>
      </c>
      <c r="E104">
        <v>7.5</v>
      </c>
      <c r="F104">
        <v>3.12</v>
      </c>
      <c r="G104">
        <v>2.94</v>
      </c>
      <c r="H104">
        <f>IF(AND(fotowoltaika[[#This Row],[st_zach]]&lt;=D103,fotowoltaika[[#This Row],[produkcja]]&gt;=E103),1,0)</f>
        <v>0</v>
      </c>
      <c r="I104">
        <f>(I103+fotowoltaika[[#This Row],[czy_st_nie_wzrastal]])*fotowoltaika[[#This Row],[czy_st_nie_wzrastal]]</f>
        <v>0</v>
      </c>
      <c r="J104" s="4">
        <f>HOUR(fotowoltaika[[#This Row],[zach]]-fotowoltaika[[#This Row],[wsch]])</f>
        <v>13</v>
      </c>
      <c r="K104">
        <f>(K103+(0.8*fotowoltaika[[#This Row],[oddanie]])-(fotowoltaika[[#This Row],[pobranie]]))</f>
        <v>42.278000000000041</v>
      </c>
      <c r="L104">
        <f>IF(fotowoltaika[[#This Row],[Saldo]]&lt;50,1,0)</f>
        <v>1</v>
      </c>
      <c r="M104">
        <f>IF(fotowoltaika[[#This Row],[Saldo]]&lt;0,1,0)</f>
        <v>0</v>
      </c>
    </row>
    <row r="105" spans="1:13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>IF(AND(fotowoltaika[[#This Row],[st_zach]]&lt;=D104,fotowoltaika[[#This Row],[produkcja]]&gt;=E104),1,0)</f>
        <v>1</v>
      </c>
      <c r="I105">
        <f>(I104+fotowoltaika[[#This Row],[czy_st_nie_wzrastal]])*fotowoltaika[[#This Row],[czy_st_nie_wzrastal]]</f>
        <v>1</v>
      </c>
      <c r="J105" s="4">
        <f>HOUR(fotowoltaika[[#This Row],[zach]]-fotowoltaika[[#This Row],[wsch]])</f>
        <v>13</v>
      </c>
      <c r="K105">
        <f>(K104+(0.8*fotowoltaika[[#This Row],[oddanie]])-(fotowoltaika[[#This Row],[pobranie]]))</f>
        <v>42.964000000000041</v>
      </c>
      <c r="L105">
        <f>IF(fotowoltaika[[#This Row],[Saldo]]&lt;50,1,0)</f>
        <v>1</v>
      </c>
      <c r="M105">
        <f>IF(fotowoltaika[[#This Row],[Saldo]]&lt;0,1,0)</f>
        <v>0</v>
      </c>
    </row>
    <row r="106" spans="1:13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>IF(AND(fotowoltaika[[#This Row],[st_zach]]&lt;=D105,fotowoltaika[[#This Row],[produkcja]]&gt;=E105),1,0)</f>
        <v>0</v>
      </c>
      <c r="I106">
        <f>(I105+fotowoltaika[[#This Row],[czy_st_nie_wzrastal]])*fotowoltaika[[#This Row],[czy_st_nie_wzrastal]]</f>
        <v>0</v>
      </c>
      <c r="J106" s="4">
        <f>HOUR(fotowoltaika[[#This Row],[zach]]-fotowoltaika[[#This Row],[wsch]])</f>
        <v>13</v>
      </c>
      <c r="K106">
        <f>(K105+(0.8*fotowoltaika[[#This Row],[oddanie]])-(fotowoltaika[[#This Row],[pobranie]]))</f>
        <v>44.012000000000043</v>
      </c>
      <c r="L106">
        <f>IF(fotowoltaika[[#This Row],[Saldo]]&lt;50,1,0)</f>
        <v>1</v>
      </c>
      <c r="M106">
        <f>IF(fotowoltaika[[#This Row],[Saldo]]&lt;0,1,0)</f>
        <v>0</v>
      </c>
    </row>
    <row r="107" spans="1:13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>IF(AND(fotowoltaika[[#This Row],[st_zach]]&lt;=D106,fotowoltaika[[#This Row],[produkcja]]&gt;=E106),1,0)</f>
        <v>0</v>
      </c>
      <c r="I107">
        <f>(I106+fotowoltaika[[#This Row],[czy_st_nie_wzrastal]])*fotowoltaika[[#This Row],[czy_st_nie_wzrastal]]</f>
        <v>0</v>
      </c>
      <c r="J107" s="4">
        <f>HOUR(fotowoltaika[[#This Row],[zach]]-fotowoltaika[[#This Row],[wsch]])</f>
        <v>14</v>
      </c>
      <c r="K107">
        <f>(K106+(0.8*fotowoltaika[[#This Row],[oddanie]])-(fotowoltaika[[#This Row],[pobranie]]))</f>
        <v>42.386000000000045</v>
      </c>
      <c r="L107">
        <f>IF(fotowoltaika[[#This Row],[Saldo]]&lt;50,1,0)</f>
        <v>1</v>
      </c>
      <c r="M107">
        <f>IF(fotowoltaika[[#This Row],[Saldo]]&lt;0,1,0)</f>
        <v>0</v>
      </c>
    </row>
    <row r="108" spans="1:13" x14ac:dyDescent="0.3">
      <c r="A108" s="1">
        <v>44668</v>
      </c>
      <c r="B108" s="2">
        <v>0.2308449074074074</v>
      </c>
      <c r="C108" s="2">
        <v>0.8185648148148148</v>
      </c>
      <c r="D108">
        <v>6</v>
      </c>
      <c r="E108">
        <v>2.34</v>
      </c>
      <c r="F108">
        <v>1.06</v>
      </c>
      <c r="G108">
        <v>2.46</v>
      </c>
      <c r="H108">
        <f>IF(AND(fotowoltaika[[#This Row],[st_zach]]&lt;=D107,fotowoltaika[[#This Row],[produkcja]]&gt;=E107),1,0)</f>
        <v>0</v>
      </c>
      <c r="I108">
        <f>(I107+fotowoltaika[[#This Row],[czy_st_nie_wzrastal]])*fotowoltaika[[#This Row],[czy_st_nie_wzrastal]]</f>
        <v>0</v>
      </c>
      <c r="J108" s="4">
        <f>HOUR(fotowoltaika[[#This Row],[zach]]-fotowoltaika[[#This Row],[wsch]])</f>
        <v>14</v>
      </c>
      <c r="K108">
        <f>(K107+(0.8*fotowoltaika[[#This Row],[oddanie]])-(fotowoltaika[[#This Row],[pobranie]]))</f>
        <v>40.774000000000044</v>
      </c>
      <c r="L108">
        <f>IF(fotowoltaika[[#This Row],[Saldo]]&lt;50,1,0)</f>
        <v>1</v>
      </c>
      <c r="M108">
        <f>IF(fotowoltaika[[#This Row],[Saldo]]&lt;0,1,0)</f>
        <v>0</v>
      </c>
    </row>
    <row r="109" spans="1:13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>IF(AND(fotowoltaika[[#This Row],[st_zach]]&lt;=D108,fotowoltaika[[#This Row],[produkcja]]&gt;=E108),1,0)</f>
        <v>1</v>
      </c>
      <c r="I109">
        <f>(I108+fotowoltaika[[#This Row],[czy_st_nie_wzrastal]])*fotowoltaika[[#This Row],[czy_st_nie_wzrastal]]</f>
        <v>1</v>
      </c>
      <c r="J109" s="4">
        <f>HOUR(fotowoltaika[[#This Row],[zach]]-fotowoltaika[[#This Row],[wsch]])</f>
        <v>14</v>
      </c>
      <c r="K109">
        <f>(K108+(0.8*fotowoltaika[[#This Row],[oddanie]])-(fotowoltaika[[#This Row],[pobranie]]))</f>
        <v>38.796000000000042</v>
      </c>
      <c r="L109">
        <f>IF(fotowoltaika[[#This Row],[Saldo]]&lt;50,1,0)</f>
        <v>1</v>
      </c>
      <c r="M109">
        <f>IF(fotowoltaika[[#This Row],[Saldo]]&lt;0,1,0)</f>
        <v>0</v>
      </c>
    </row>
    <row r="110" spans="1:13" x14ac:dyDescent="0.3">
      <c r="A110" s="1">
        <v>44670</v>
      </c>
      <c r="B110" s="2">
        <v>0.22783564814814813</v>
      </c>
      <c r="C110" s="2">
        <v>0.82096064814814818</v>
      </c>
      <c r="D110">
        <v>4</v>
      </c>
      <c r="E110">
        <v>3.78</v>
      </c>
      <c r="F110">
        <v>2.0699999999999998</v>
      </c>
      <c r="G110">
        <v>2.93</v>
      </c>
      <c r="H110">
        <f>IF(AND(fotowoltaika[[#This Row],[st_zach]]&lt;=D109,fotowoltaika[[#This Row],[produkcja]]&gt;=E109),1,0)</f>
        <v>1</v>
      </c>
      <c r="I110">
        <f>(I109+fotowoltaika[[#This Row],[czy_st_nie_wzrastal]])*fotowoltaika[[#This Row],[czy_st_nie_wzrastal]]</f>
        <v>2</v>
      </c>
      <c r="J110" s="4">
        <f>HOUR(fotowoltaika[[#This Row],[zach]]-fotowoltaika[[#This Row],[wsch]])</f>
        <v>14</v>
      </c>
      <c r="K110">
        <f>(K109+(0.8*fotowoltaika[[#This Row],[oddanie]])-(fotowoltaika[[#This Row],[pobranie]]))</f>
        <v>37.522000000000041</v>
      </c>
      <c r="L110">
        <f>IF(fotowoltaika[[#This Row],[Saldo]]&lt;50,1,0)</f>
        <v>1</v>
      </c>
      <c r="M110">
        <f>IF(fotowoltaika[[#This Row],[Saldo]]&lt;0,1,0)</f>
        <v>0</v>
      </c>
    </row>
    <row r="111" spans="1:13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>IF(AND(fotowoltaika[[#This Row],[st_zach]]&lt;=D110,fotowoltaika[[#This Row],[produkcja]]&gt;=E110),1,0)</f>
        <v>1</v>
      </c>
      <c r="I111">
        <f>(I110+fotowoltaika[[#This Row],[czy_st_nie_wzrastal]])*fotowoltaika[[#This Row],[czy_st_nie_wzrastal]]</f>
        <v>3</v>
      </c>
      <c r="J111" s="4">
        <f>HOUR(fotowoltaika[[#This Row],[zach]]-fotowoltaika[[#This Row],[wsch]])</f>
        <v>14</v>
      </c>
      <c r="K111">
        <f>(K110+(0.8*fotowoltaika[[#This Row],[oddanie]])-(fotowoltaika[[#This Row],[pobranie]]))</f>
        <v>37.518000000000036</v>
      </c>
      <c r="L111">
        <f>IF(fotowoltaika[[#This Row],[Saldo]]&lt;50,1,0)</f>
        <v>1</v>
      </c>
      <c r="M111">
        <f>IF(fotowoltaika[[#This Row],[Saldo]]&lt;0,1,0)</f>
        <v>0</v>
      </c>
    </row>
    <row r="112" spans="1:13" x14ac:dyDescent="0.3">
      <c r="A112" s="1">
        <v>44672</v>
      </c>
      <c r="B112" s="2">
        <v>0.22486111111111112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>IF(AND(fotowoltaika[[#This Row],[st_zach]]&lt;=D111,fotowoltaika[[#This Row],[produkcja]]&gt;=E111),1,0)</f>
        <v>1</v>
      </c>
      <c r="I112">
        <f>(I111+fotowoltaika[[#This Row],[czy_st_nie_wzrastal]])*fotowoltaika[[#This Row],[czy_st_nie_wzrastal]]</f>
        <v>4</v>
      </c>
      <c r="J112" s="4">
        <f>HOUR(fotowoltaika[[#This Row],[zach]]-fotowoltaika[[#This Row],[wsch]])</f>
        <v>14</v>
      </c>
      <c r="K112">
        <f>(K111+(0.8*fotowoltaika[[#This Row],[oddanie]])-(fotowoltaika[[#This Row],[pobranie]]))</f>
        <v>38.346000000000032</v>
      </c>
      <c r="L112">
        <f>IF(fotowoltaika[[#This Row],[Saldo]]&lt;50,1,0)</f>
        <v>1</v>
      </c>
      <c r="M112">
        <f>IF(fotowoltaika[[#This Row],[Saldo]]&lt;0,1,0)</f>
        <v>0</v>
      </c>
    </row>
    <row r="113" spans="1:13" x14ac:dyDescent="0.3">
      <c r="A113" s="1">
        <v>44673</v>
      </c>
      <c r="B113" s="2">
        <v>0.22337962962962962</v>
      </c>
      <c r="C113" s="2">
        <v>0.82456018518518515</v>
      </c>
      <c r="D113">
        <v>5</v>
      </c>
      <c r="E113">
        <v>2.54</v>
      </c>
      <c r="F113">
        <v>0.68</v>
      </c>
      <c r="G113">
        <v>3.58</v>
      </c>
      <c r="H113">
        <f>IF(AND(fotowoltaika[[#This Row],[st_zach]]&lt;=D112,fotowoltaika[[#This Row],[produkcja]]&gt;=E112),1,0)</f>
        <v>0</v>
      </c>
      <c r="I113">
        <f>(I112+fotowoltaika[[#This Row],[czy_st_nie_wzrastal]])*fotowoltaika[[#This Row],[czy_st_nie_wzrastal]]</f>
        <v>0</v>
      </c>
      <c r="J113" s="4">
        <f>HOUR(fotowoltaika[[#This Row],[zach]]-fotowoltaika[[#This Row],[wsch]])</f>
        <v>14</v>
      </c>
      <c r="K113">
        <f>(K112+(0.8*fotowoltaika[[#This Row],[oddanie]])-(fotowoltaika[[#This Row],[pobranie]]))</f>
        <v>35.310000000000031</v>
      </c>
      <c r="L113">
        <f>IF(fotowoltaika[[#This Row],[Saldo]]&lt;50,1,0)</f>
        <v>1</v>
      </c>
      <c r="M113">
        <f>IF(fotowoltaika[[#This Row],[Saldo]]&lt;0,1,0)</f>
        <v>0</v>
      </c>
    </row>
    <row r="114" spans="1:13" x14ac:dyDescent="0.3">
      <c r="A114" s="1">
        <v>44674</v>
      </c>
      <c r="B114" s="2">
        <v>0.22192129629629628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>IF(AND(fotowoltaika[[#This Row],[st_zach]]&lt;=D113,fotowoltaika[[#This Row],[produkcja]]&gt;=E113),1,0)</f>
        <v>1</v>
      </c>
      <c r="I114">
        <f>(I113+fotowoltaika[[#This Row],[czy_st_nie_wzrastal]])*fotowoltaika[[#This Row],[czy_st_nie_wzrastal]]</f>
        <v>1</v>
      </c>
      <c r="J114" s="4">
        <f>HOUR(fotowoltaika[[#This Row],[zach]]-fotowoltaika[[#This Row],[wsch]])</f>
        <v>14</v>
      </c>
      <c r="K114">
        <f>(K113+(0.8*fotowoltaika[[#This Row],[oddanie]])-(fotowoltaika[[#This Row],[pobranie]]))</f>
        <v>35.744000000000028</v>
      </c>
      <c r="L114">
        <f>IF(fotowoltaika[[#This Row],[Saldo]]&lt;50,1,0)</f>
        <v>1</v>
      </c>
      <c r="M114">
        <f>IF(fotowoltaika[[#This Row],[Saldo]]&lt;0,1,0)</f>
        <v>0</v>
      </c>
    </row>
    <row r="115" spans="1:13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>IF(AND(fotowoltaika[[#This Row],[st_zach]]&lt;=D114,fotowoltaika[[#This Row],[produkcja]]&gt;=E114),1,0)</f>
        <v>1</v>
      </c>
      <c r="I115">
        <f>(I114+fotowoltaika[[#This Row],[czy_st_nie_wzrastal]])*fotowoltaika[[#This Row],[czy_st_nie_wzrastal]]</f>
        <v>2</v>
      </c>
      <c r="J115" s="4">
        <f>HOUR(fotowoltaika[[#This Row],[zach]]-fotowoltaika[[#This Row],[wsch]])</f>
        <v>14</v>
      </c>
      <c r="K115">
        <f>(K114+(0.8*fotowoltaika[[#This Row],[oddanie]])-(fotowoltaika[[#This Row],[pobranie]]))</f>
        <v>37.744000000000028</v>
      </c>
      <c r="L115">
        <f>IF(fotowoltaika[[#This Row],[Saldo]]&lt;50,1,0)</f>
        <v>1</v>
      </c>
      <c r="M115">
        <f>IF(fotowoltaika[[#This Row],[Saldo]]&lt;0,1,0)</f>
        <v>0</v>
      </c>
    </row>
    <row r="116" spans="1:13" x14ac:dyDescent="0.3">
      <c r="A116" s="1">
        <v>44676</v>
      </c>
      <c r="B116" s="2">
        <v>0.21903935185185186</v>
      </c>
      <c r="C116" s="2">
        <v>0.82814814814814819</v>
      </c>
      <c r="D116">
        <v>6</v>
      </c>
      <c r="E116">
        <v>3.09</v>
      </c>
      <c r="F116">
        <v>1.32</v>
      </c>
      <c r="G116">
        <v>3.52</v>
      </c>
      <c r="H116">
        <f>IF(AND(fotowoltaika[[#This Row],[st_zach]]&lt;=D115,fotowoltaika[[#This Row],[produkcja]]&gt;=E115),1,0)</f>
        <v>0</v>
      </c>
      <c r="I116">
        <f>(I115+fotowoltaika[[#This Row],[czy_st_nie_wzrastal]])*fotowoltaika[[#This Row],[czy_st_nie_wzrastal]]</f>
        <v>0</v>
      </c>
      <c r="J116" s="4">
        <f>HOUR(fotowoltaika[[#This Row],[zach]]-fotowoltaika[[#This Row],[wsch]])</f>
        <v>14</v>
      </c>
      <c r="K116">
        <f>(K115+(0.8*fotowoltaika[[#This Row],[oddanie]])-(fotowoltaika[[#This Row],[pobranie]]))</f>
        <v>35.280000000000022</v>
      </c>
      <c r="L116">
        <f>IF(fotowoltaika[[#This Row],[Saldo]]&lt;50,1,0)</f>
        <v>1</v>
      </c>
      <c r="M116">
        <f>IF(fotowoltaika[[#This Row],[Saldo]]&lt;0,1,0)</f>
        <v>0</v>
      </c>
    </row>
    <row r="117" spans="1:13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>IF(AND(fotowoltaika[[#This Row],[st_zach]]&lt;=D116,fotowoltaika[[#This Row],[produkcja]]&gt;=E116),1,0)</f>
        <v>1</v>
      </c>
      <c r="I117">
        <f>(I116+fotowoltaika[[#This Row],[czy_st_nie_wzrastal]])*fotowoltaika[[#This Row],[czy_st_nie_wzrastal]]</f>
        <v>1</v>
      </c>
      <c r="J117" s="4">
        <f>HOUR(fotowoltaika[[#This Row],[zach]]-fotowoltaika[[#This Row],[wsch]])</f>
        <v>14</v>
      </c>
      <c r="K117">
        <f>(K116+(0.8*fotowoltaika[[#This Row],[oddanie]])-(fotowoltaika[[#This Row],[pobranie]]))</f>
        <v>35.958000000000027</v>
      </c>
      <c r="L117">
        <f>IF(fotowoltaika[[#This Row],[Saldo]]&lt;50,1,0)</f>
        <v>1</v>
      </c>
      <c r="M117">
        <f>IF(fotowoltaika[[#This Row],[Saldo]]&lt;0,1,0)</f>
        <v>0</v>
      </c>
    </row>
    <row r="118" spans="1:13" x14ac:dyDescent="0.3">
      <c r="A118" s="1">
        <v>44678</v>
      </c>
      <c r="B118" s="2">
        <v>0.2162037037037037</v>
      </c>
      <c r="C118" s="2">
        <v>0.83053240740740741</v>
      </c>
      <c r="D118">
        <v>2</v>
      </c>
      <c r="E118">
        <v>6.08</v>
      </c>
      <c r="F118">
        <v>2.34</v>
      </c>
      <c r="G118">
        <v>1.65</v>
      </c>
      <c r="H118">
        <f>IF(AND(fotowoltaika[[#This Row],[st_zach]]&lt;=D117,fotowoltaika[[#This Row],[produkcja]]&gt;=E117),1,0)</f>
        <v>1</v>
      </c>
      <c r="I118">
        <f>(I117+fotowoltaika[[#This Row],[czy_st_nie_wzrastal]])*fotowoltaika[[#This Row],[czy_st_nie_wzrastal]]</f>
        <v>2</v>
      </c>
      <c r="J118" s="4">
        <f>HOUR(fotowoltaika[[#This Row],[zach]]-fotowoltaika[[#This Row],[wsch]])</f>
        <v>14</v>
      </c>
      <c r="K118">
        <f>(K117+(0.8*fotowoltaika[[#This Row],[oddanie]])-(fotowoltaika[[#This Row],[pobranie]]))</f>
        <v>36.180000000000028</v>
      </c>
      <c r="L118">
        <f>IF(fotowoltaika[[#This Row],[Saldo]]&lt;50,1,0)</f>
        <v>1</v>
      </c>
      <c r="M118">
        <f>IF(fotowoltaika[[#This Row],[Saldo]]&lt;0,1,0)</f>
        <v>0</v>
      </c>
    </row>
    <row r="119" spans="1:13" x14ac:dyDescent="0.3">
      <c r="A119" s="1">
        <v>44679</v>
      </c>
      <c r="B119" s="2">
        <v>0.21480324074074075</v>
      </c>
      <c r="C119" s="2">
        <v>0.83171296296296293</v>
      </c>
      <c r="D119">
        <v>6</v>
      </c>
      <c r="E119">
        <v>3.61</v>
      </c>
      <c r="F119">
        <v>1.32</v>
      </c>
      <c r="G119">
        <v>2.14</v>
      </c>
      <c r="H119">
        <f>IF(AND(fotowoltaika[[#This Row],[st_zach]]&lt;=D118,fotowoltaika[[#This Row],[produkcja]]&gt;=E118),1,0)</f>
        <v>0</v>
      </c>
      <c r="I119">
        <f>(I118+fotowoltaika[[#This Row],[czy_st_nie_wzrastal]])*fotowoltaika[[#This Row],[czy_st_nie_wzrastal]]</f>
        <v>0</v>
      </c>
      <c r="J119" s="4">
        <f>HOUR(fotowoltaika[[#This Row],[zach]]-fotowoltaika[[#This Row],[wsch]])</f>
        <v>14</v>
      </c>
      <c r="K119">
        <f>(K118+(0.8*fotowoltaika[[#This Row],[oddanie]])-(fotowoltaika[[#This Row],[pobranie]]))</f>
        <v>35.096000000000025</v>
      </c>
      <c r="L119">
        <f>IF(fotowoltaika[[#This Row],[Saldo]]&lt;50,1,0)</f>
        <v>1</v>
      </c>
      <c r="M119">
        <f>IF(fotowoltaika[[#This Row],[Saldo]]&lt;0,1,0)</f>
        <v>0</v>
      </c>
    </row>
    <row r="120" spans="1:13" x14ac:dyDescent="0.3">
      <c r="A120" s="1">
        <v>44680</v>
      </c>
      <c r="B120" s="2">
        <v>0.21342592592592594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>IF(AND(fotowoltaika[[#This Row],[st_zach]]&lt;=D119,fotowoltaika[[#This Row],[produkcja]]&gt;=E119),1,0)</f>
        <v>1</v>
      </c>
      <c r="I120">
        <f>(I119+fotowoltaika[[#This Row],[czy_st_nie_wzrastal]])*fotowoltaika[[#This Row],[czy_st_nie_wzrastal]]</f>
        <v>1</v>
      </c>
      <c r="J120" s="4">
        <f>HOUR(fotowoltaika[[#This Row],[zach]]-fotowoltaika[[#This Row],[wsch]])</f>
        <v>14</v>
      </c>
      <c r="K120">
        <f>(K119+(0.8*fotowoltaika[[#This Row],[oddanie]])-(fotowoltaika[[#This Row],[pobranie]]))</f>
        <v>35.822000000000024</v>
      </c>
      <c r="L120">
        <f>IF(fotowoltaika[[#This Row],[Saldo]]&lt;50,1,0)</f>
        <v>1</v>
      </c>
      <c r="M120">
        <f>IF(fotowoltaika[[#This Row],[Saldo]]&lt;0,1,0)</f>
        <v>0</v>
      </c>
    </row>
    <row r="121" spans="1:13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>IF(AND(fotowoltaika[[#This Row],[st_zach]]&lt;=D120,fotowoltaika[[#This Row],[produkcja]]&gt;=E120),1,0)</f>
        <v>0</v>
      </c>
      <c r="I121">
        <f>(I120+fotowoltaika[[#This Row],[czy_st_nie_wzrastal]])*fotowoltaika[[#This Row],[czy_st_nie_wzrastal]]</f>
        <v>0</v>
      </c>
      <c r="J121" s="4">
        <f>HOUR(fotowoltaika[[#This Row],[zach]]-fotowoltaika[[#This Row],[wsch]])</f>
        <v>14</v>
      </c>
      <c r="K121">
        <f>(K120+(0.8*fotowoltaika[[#This Row],[oddanie]])-(fotowoltaika[[#This Row],[pobranie]]))</f>
        <v>35.490000000000023</v>
      </c>
      <c r="L121">
        <f>IF(fotowoltaika[[#This Row],[Saldo]]&lt;50,1,0)</f>
        <v>1</v>
      </c>
      <c r="M121">
        <f>IF(fotowoltaika[[#This Row],[Saldo]]&lt;0,1,0)</f>
        <v>0</v>
      </c>
    </row>
    <row r="122" spans="1:13" x14ac:dyDescent="0.3">
      <c r="A122" s="1">
        <v>44682</v>
      </c>
      <c r="B122" s="2">
        <v>0.21070601851851853</v>
      </c>
      <c r="C122" s="2">
        <v>0.83526620370370375</v>
      </c>
      <c r="D122">
        <v>3</v>
      </c>
      <c r="E122">
        <v>4.0999999999999996</v>
      </c>
      <c r="F122">
        <v>2.16</v>
      </c>
      <c r="G122">
        <v>3.12</v>
      </c>
      <c r="H122">
        <f>IF(AND(fotowoltaika[[#This Row],[st_zach]]&lt;=D121,fotowoltaika[[#This Row],[produkcja]]&gt;=E121),1,0)</f>
        <v>0</v>
      </c>
      <c r="I122">
        <f>(I121+fotowoltaika[[#This Row],[czy_st_nie_wzrastal]])*fotowoltaika[[#This Row],[czy_st_nie_wzrastal]]</f>
        <v>0</v>
      </c>
      <c r="J122" s="4">
        <f>HOUR(fotowoltaika[[#This Row],[zach]]-fotowoltaika[[#This Row],[wsch]])</f>
        <v>14</v>
      </c>
      <c r="K122">
        <f>(K121+(0.8*fotowoltaika[[#This Row],[oddanie]])-(fotowoltaika[[#This Row],[pobranie]]))</f>
        <v>34.098000000000027</v>
      </c>
      <c r="L122">
        <f>IF(fotowoltaika[[#This Row],[Saldo]]&lt;50,1,0)</f>
        <v>1</v>
      </c>
      <c r="M122">
        <f>IF(fotowoltaika[[#This Row],[Saldo]]&lt;0,1,0)</f>
        <v>0</v>
      </c>
    </row>
    <row r="123" spans="1:13" x14ac:dyDescent="0.3">
      <c r="A123" s="1">
        <v>44683</v>
      </c>
      <c r="B123" s="2">
        <v>0.20936342592592594</v>
      </c>
      <c r="C123" s="2">
        <v>0.83644675925925926</v>
      </c>
      <c r="D123">
        <v>0</v>
      </c>
      <c r="E123">
        <v>12.23</v>
      </c>
      <c r="F123">
        <v>3.94</v>
      </c>
      <c r="G123">
        <v>2.0099999999999998</v>
      </c>
      <c r="H123">
        <f>IF(AND(fotowoltaika[[#This Row],[st_zach]]&lt;=D122,fotowoltaika[[#This Row],[produkcja]]&gt;=E122),1,0)</f>
        <v>1</v>
      </c>
      <c r="I123">
        <f>(I122+fotowoltaika[[#This Row],[czy_st_nie_wzrastal]])*fotowoltaika[[#This Row],[czy_st_nie_wzrastal]]</f>
        <v>1</v>
      </c>
      <c r="J123" s="4">
        <f>HOUR(fotowoltaika[[#This Row],[zach]]-fotowoltaika[[#This Row],[wsch]])</f>
        <v>15</v>
      </c>
      <c r="K123">
        <f>(K122+(0.8*fotowoltaika[[#This Row],[oddanie]])-(fotowoltaika[[#This Row],[pobranie]]))</f>
        <v>35.24000000000003</v>
      </c>
      <c r="L123">
        <f>IF(fotowoltaika[[#This Row],[Saldo]]&lt;50,1,0)</f>
        <v>1</v>
      </c>
      <c r="M123">
        <f>IF(fotowoltaika[[#This Row],[Saldo]]&lt;0,1,0)</f>
        <v>0</v>
      </c>
    </row>
    <row r="124" spans="1:13" x14ac:dyDescent="0.3">
      <c r="A124" s="1">
        <v>44684</v>
      </c>
      <c r="B124" s="2">
        <v>0.20804398148148148</v>
      </c>
      <c r="C124" s="2">
        <v>0.83762731481481478</v>
      </c>
      <c r="D124">
        <v>3</v>
      </c>
      <c r="E124">
        <v>5.28</v>
      </c>
      <c r="F124">
        <v>2.87</v>
      </c>
      <c r="G124">
        <v>2.58</v>
      </c>
      <c r="H124">
        <f>IF(AND(fotowoltaika[[#This Row],[st_zach]]&lt;=D123,fotowoltaika[[#This Row],[produkcja]]&gt;=E123),1,0)</f>
        <v>0</v>
      </c>
      <c r="I124">
        <f>(I123+fotowoltaika[[#This Row],[czy_st_nie_wzrastal]])*fotowoltaika[[#This Row],[czy_st_nie_wzrastal]]</f>
        <v>0</v>
      </c>
      <c r="J124" s="4">
        <f>HOUR(fotowoltaika[[#This Row],[zach]]-fotowoltaika[[#This Row],[wsch]])</f>
        <v>15</v>
      </c>
      <c r="K124">
        <f>(K123+(0.8*fotowoltaika[[#This Row],[oddanie]])-(fotowoltaika[[#This Row],[pobranie]]))</f>
        <v>34.956000000000031</v>
      </c>
      <c r="L124">
        <f>IF(fotowoltaika[[#This Row],[Saldo]]&lt;50,1,0)</f>
        <v>1</v>
      </c>
      <c r="M124">
        <f>IF(fotowoltaika[[#This Row],[Saldo]]&lt;0,1,0)</f>
        <v>0</v>
      </c>
    </row>
    <row r="125" spans="1:13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>IF(AND(fotowoltaika[[#This Row],[st_zach]]&lt;=D124,fotowoltaika[[#This Row],[produkcja]]&gt;=E124),1,0)</f>
        <v>1</v>
      </c>
      <c r="I125">
        <f>(I124+fotowoltaika[[#This Row],[czy_st_nie_wzrastal]])*fotowoltaika[[#This Row],[czy_st_nie_wzrastal]]</f>
        <v>1</v>
      </c>
      <c r="J125" s="4">
        <f>HOUR(fotowoltaika[[#This Row],[zach]]-fotowoltaika[[#This Row],[wsch]])</f>
        <v>15</v>
      </c>
      <c r="K125">
        <f>(K124+(0.8*fotowoltaika[[#This Row],[oddanie]])-(fotowoltaika[[#This Row],[pobranie]]))</f>
        <v>36.642000000000031</v>
      </c>
      <c r="L125">
        <f>IF(fotowoltaika[[#This Row],[Saldo]]&lt;50,1,0)</f>
        <v>1</v>
      </c>
      <c r="M125">
        <f>IF(fotowoltaika[[#This Row],[Saldo]]&lt;0,1,0)</f>
        <v>0</v>
      </c>
    </row>
    <row r="126" spans="1:13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>IF(AND(fotowoltaika[[#This Row],[st_zach]]&lt;=D125,fotowoltaika[[#This Row],[produkcja]]&gt;=E125),1,0)</f>
        <v>0</v>
      </c>
      <c r="I126">
        <f>(I125+fotowoltaika[[#This Row],[czy_st_nie_wzrastal]])*fotowoltaika[[#This Row],[czy_st_nie_wzrastal]]</f>
        <v>0</v>
      </c>
      <c r="J126" s="4">
        <f>HOUR(fotowoltaika[[#This Row],[zach]]-fotowoltaika[[#This Row],[wsch]])</f>
        <v>15</v>
      </c>
      <c r="K126">
        <f>(K125+(0.8*fotowoltaika[[#This Row],[oddanie]])-(fotowoltaika[[#This Row],[pobranie]]))</f>
        <v>38.210000000000029</v>
      </c>
      <c r="L126">
        <f>IF(fotowoltaika[[#This Row],[Saldo]]&lt;50,1,0)</f>
        <v>1</v>
      </c>
      <c r="M126">
        <f>IF(fotowoltaika[[#This Row],[Saldo]]&lt;0,1,0)</f>
        <v>0</v>
      </c>
    </row>
    <row r="127" spans="1:13" x14ac:dyDescent="0.3">
      <c r="A127" s="1">
        <v>44687</v>
      </c>
      <c r="B127" s="2">
        <v>0.20418981481481482</v>
      </c>
      <c r="C127" s="2">
        <v>0.84112268518518518</v>
      </c>
      <c r="D127">
        <v>1</v>
      </c>
      <c r="E127">
        <v>8.76</v>
      </c>
      <c r="F127">
        <v>3.15</v>
      </c>
      <c r="G127">
        <v>1.42</v>
      </c>
      <c r="H127">
        <f>IF(AND(fotowoltaika[[#This Row],[st_zach]]&lt;=D126,fotowoltaika[[#This Row],[produkcja]]&gt;=E126),1,0)</f>
        <v>0</v>
      </c>
      <c r="I127">
        <f>(I126+fotowoltaika[[#This Row],[czy_st_nie_wzrastal]])*fotowoltaika[[#This Row],[czy_st_nie_wzrastal]]</f>
        <v>0</v>
      </c>
      <c r="J127" s="4">
        <f>HOUR(fotowoltaika[[#This Row],[zach]]-fotowoltaika[[#This Row],[wsch]])</f>
        <v>15</v>
      </c>
      <c r="K127">
        <f>(K126+(0.8*fotowoltaika[[#This Row],[oddanie]])-(fotowoltaika[[#This Row],[pobranie]]))</f>
        <v>39.310000000000031</v>
      </c>
      <c r="L127">
        <f>IF(fotowoltaika[[#This Row],[Saldo]]&lt;50,1,0)</f>
        <v>1</v>
      </c>
      <c r="M127">
        <f>IF(fotowoltaika[[#This Row],[Saldo]]&lt;0,1,0)</f>
        <v>0</v>
      </c>
    </row>
    <row r="128" spans="1:13" x14ac:dyDescent="0.3">
      <c r="A128" s="1">
        <v>44688</v>
      </c>
      <c r="B128" s="2">
        <v>0.20293981481481482</v>
      </c>
      <c r="C128" s="2">
        <v>0.84226851851851847</v>
      </c>
      <c r="D128">
        <v>2</v>
      </c>
      <c r="E128">
        <v>5.66</v>
      </c>
      <c r="F128">
        <v>4.2</v>
      </c>
      <c r="G128">
        <v>2.94</v>
      </c>
      <c r="H128">
        <f>IF(AND(fotowoltaika[[#This Row],[st_zach]]&lt;=D127,fotowoltaika[[#This Row],[produkcja]]&gt;=E127),1,0)</f>
        <v>0</v>
      </c>
      <c r="I128">
        <f>(I127+fotowoltaika[[#This Row],[czy_st_nie_wzrastal]])*fotowoltaika[[#This Row],[czy_st_nie_wzrastal]]</f>
        <v>0</v>
      </c>
      <c r="J128" s="4">
        <f>HOUR(fotowoltaika[[#This Row],[zach]]-fotowoltaika[[#This Row],[wsch]])</f>
        <v>15</v>
      </c>
      <c r="K128">
        <f>(K127+(0.8*fotowoltaika[[#This Row],[oddanie]])-(fotowoltaika[[#This Row],[pobranie]]))</f>
        <v>39.730000000000032</v>
      </c>
      <c r="L128">
        <f>IF(fotowoltaika[[#This Row],[Saldo]]&lt;50,1,0)</f>
        <v>1</v>
      </c>
      <c r="M128">
        <f>IF(fotowoltaika[[#This Row],[Saldo]]&lt;0,1,0)</f>
        <v>0</v>
      </c>
    </row>
    <row r="129" spans="1:13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>IF(AND(fotowoltaika[[#This Row],[st_zach]]&lt;=D128,fotowoltaika[[#This Row],[produkcja]]&gt;=E128),1,0)</f>
        <v>1</v>
      </c>
      <c r="I129">
        <f>(I128+fotowoltaika[[#This Row],[czy_st_nie_wzrastal]])*fotowoltaika[[#This Row],[czy_st_nie_wzrastal]]</f>
        <v>1</v>
      </c>
      <c r="J129" s="4">
        <f>HOUR(fotowoltaika[[#This Row],[zach]]-fotowoltaika[[#This Row],[wsch]])</f>
        <v>15</v>
      </c>
      <c r="K129">
        <f>(K128+(0.8*fotowoltaika[[#This Row],[oddanie]])-(fotowoltaika[[#This Row],[pobranie]]))</f>
        <v>41.184000000000033</v>
      </c>
      <c r="L129">
        <f>IF(fotowoltaika[[#This Row],[Saldo]]&lt;50,1,0)</f>
        <v>1</v>
      </c>
      <c r="M129">
        <f>IF(fotowoltaika[[#This Row],[Saldo]]&lt;0,1,0)</f>
        <v>0</v>
      </c>
    </row>
    <row r="130" spans="1:13" x14ac:dyDescent="0.3">
      <c r="A130" s="1">
        <v>44690</v>
      </c>
      <c r="B130" s="2">
        <v>0.20049768518518518</v>
      </c>
      <c r="C130" s="2">
        <v>0.84456018518518516</v>
      </c>
      <c r="D130">
        <v>7</v>
      </c>
      <c r="E130">
        <v>2.89</v>
      </c>
      <c r="F130">
        <v>0.59</v>
      </c>
      <c r="G130">
        <v>2.19</v>
      </c>
      <c r="H130">
        <f>IF(AND(fotowoltaika[[#This Row],[st_zach]]&lt;=D129,fotowoltaika[[#This Row],[produkcja]]&gt;=E129),1,0)</f>
        <v>0</v>
      </c>
      <c r="I130">
        <f>(I129+fotowoltaika[[#This Row],[czy_st_nie_wzrastal]])*fotowoltaika[[#This Row],[czy_st_nie_wzrastal]]</f>
        <v>0</v>
      </c>
      <c r="J130" s="4">
        <f>HOUR(fotowoltaika[[#This Row],[zach]]-fotowoltaika[[#This Row],[wsch]])</f>
        <v>15</v>
      </c>
      <c r="K130">
        <f>(K129+(0.8*fotowoltaika[[#This Row],[oddanie]])-(fotowoltaika[[#This Row],[pobranie]]))</f>
        <v>39.466000000000037</v>
      </c>
      <c r="L130">
        <f>IF(fotowoltaika[[#This Row],[Saldo]]&lt;50,1,0)</f>
        <v>1</v>
      </c>
      <c r="M130">
        <f>IF(fotowoltaika[[#This Row],[Saldo]]&lt;0,1,0)</f>
        <v>0</v>
      </c>
    </row>
    <row r="131" spans="1:13" x14ac:dyDescent="0.3">
      <c r="A131" s="1">
        <v>44691</v>
      </c>
      <c r="B131" s="2">
        <v>0.19930555555555557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>IF(AND(fotowoltaika[[#This Row],[st_zach]]&lt;=D130,fotowoltaika[[#This Row],[produkcja]]&gt;=E130),1,0)</f>
        <v>1</v>
      </c>
      <c r="I131">
        <f>(I130+fotowoltaika[[#This Row],[czy_st_nie_wzrastal]])*fotowoltaika[[#This Row],[czy_st_nie_wzrastal]]</f>
        <v>1</v>
      </c>
      <c r="J131" s="4">
        <f>HOUR(fotowoltaika[[#This Row],[zach]]-fotowoltaika[[#This Row],[wsch]])</f>
        <v>15</v>
      </c>
      <c r="K131">
        <f>(K130+(0.8*fotowoltaika[[#This Row],[oddanie]])-(fotowoltaika[[#This Row],[pobranie]]))</f>
        <v>39.17800000000004</v>
      </c>
      <c r="L131">
        <f>IF(fotowoltaika[[#This Row],[Saldo]]&lt;50,1,0)</f>
        <v>1</v>
      </c>
      <c r="M131">
        <f>IF(fotowoltaika[[#This Row],[Saldo]]&lt;0,1,0)</f>
        <v>0</v>
      </c>
    </row>
    <row r="132" spans="1:13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>IF(AND(fotowoltaika[[#This Row],[st_zach]]&lt;=D131,fotowoltaika[[#This Row],[produkcja]]&gt;=E131),1,0)</f>
        <v>1</v>
      </c>
      <c r="I132">
        <f>(I131+fotowoltaika[[#This Row],[czy_st_nie_wzrastal]])*fotowoltaika[[#This Row],[czy_st_nie_wzrastal]]</f>
        <v>2</v>
      </c>
      <c r="J132" s="4">
        <f>HOUR(fotowoltaika[[#This Row],[zach]]-fotowoltaika[[#This Row],[wsch]])</f>
        <v>15</v>
      </c>
      <c r="K132">
        <f>(K131+(0.8*fotowoltaika[[#This Row],[oddanie]])-(fotowoltaika[[#This Row],[pobranie]]))</f>
        <v>39.55000000000004</v>
      </c>
      <c r="L132">
        <f>IF(fotowoltaika[[#This Row],[Saldo]]&lt;50,1,0)</f>
        <v>1</v>
      </c>
      <c r="M132">
        <f>IF(fotowoltaika[[#This Row],[Saldo]]&lt;0,1,0)</f>
        <v>0</v>
      </c>
    </row>
    <row r="133" spans="1:13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>IF(AND(fotowoltaika[[#This Row],[st_zach]]&lt;=D132,fotowoltaika[[#This Row],[produkcja]]&gt;=E132),1,0)</f>
        <v>1</v>
      </c>
      <c r="I133">
        <f>(I132+fotowoltaika[[#This Row],[czy_st_nie_wzrastal]])*fotowoltaika[[#This Row],[czy_st_nie_wzrastal]]</f>
        <v>3</v>
      </c>
      <c r="J133" s="4">
        <f>HOUR(fotowoltaika[[#This Row],[zach]]-fotowoltaika[[#This Row],[wsch]])</f>
        <v>15</v>
      </c>
      <c r="K133">
        <f>(K132+(0.8*fotowoltaika[[#This Row],[oddanie]])-(fotowoltaika[[#This Row],[pobranie]]))</f>
        <v>40.25400000000004</v>
      </c>
      <c r="L133">
        <f>IF(fotowoltaika[[#This Row],[Saldo]]&lt;50,1,0)</f>
        <v>1</v>
      </c>
      <c r="M133">
        <f>IF(fotowoltaika[[#This Row],[Saldo]]&lt;0,1,0)</f>
        <v>0</v>
      </c>
    </row>
    <row r="134" spans="1:13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>IF(AND(fotowoltaika[[#This Row],[st_zach]]&lt;=D133,fotowoltaika[[#This Row],[produkcja]]&gt;=E133),1,0)</f>
        <v>0</v>
      </c>
      <c r="I134">
        <f>(I133+fotowoltaika[[#This Row],[czy_st_nie_wzrastal]])*fotowoltaika[[#This Row],[czy_st_nie_wzrastal]]</f>
        <v>0</v>
      </c>
      <c r="J134" s="4">
        <f>HOUR(fotowoltaika[[#This Row],[zach]]-fotowoltaika[[#This Row],[wsch]])</f>
        <v>15</v>
      </c>
      <c r="K134">
        <f>(K133+(0.8*fotowoltaika[[#This Row],[oddanie]])-(fotowoltaika[[#This Row],[pobranie]]))</f>
        <v>43.724000000000039</v>
      </c>
      <c r="L134">
        <f>IF(fotowoltaika[[#This Row],[Saldo]]&lt;50,1,0)</f>
        <v>1</v>
      </c>
      <c r="M134">
        <f>IF(fotowoltaika[[#This Row],[Saldo]]&lt;0,1,0)</f>
        <v>0</v>
      </c>
    </row>
    <row r="135" spans="1:13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>IF(AND(fotowoltaika[[#This Row],[st_zach]]&lt;=D134,fotowoltaika[[#This Row],[produkcja]]&gt;=E134),1,0)</f>
        <v>0</v>
      </c>
      <c r="I135">
        <f>(I134+fotowoltaika[[#This Row],[czy_st_nie_wzrastal]])*fotowoltaika[[#This Row],[czy_st_nie_wzrastal]]</f>
        <v>0</v>
      </c>
      <c r="J135" s="4">
        <f>HOUR(fotowoltaika[[#This Row],[zach]]-fotowoltaika[[#This Row],[wsch]])</f>
        <v>15</v>
      </c>
      <c r="K135">
        <f>(K134+(0.8*fotowoltaika[[#This Row],[oddanie]])-(fotowoltaika[[#This Row],[pobranie]]))</f>
        <v>40.802000000000035</v>
      </c>
      <c r="L135">
        <f>IF(fotowoltaika[[#This Row],[Saldo]]&lt;50,1,0)</f>
        <v>1</v>
      </c>
      <c r="M135">
        <f>IF(fotowoltaika[[#This Row],[Saldo]]&lt;0,1,0)</f>
        <v>0</v>
      </c>
    </row>
    <row r="136" spans="1:13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>IF(AND(fotowoltaika[[#This Row],[st_zach]]&lt;=D135,fotowoltaika[[#This Row],[produkcja]]&gt;=E135),1,0)</f>
        <v>1</v>
      </c>
      <c r="I136">
        <f>(I135+fotowoltaika[[#This Row],[czy_st_nie_wzrastal]])*fotowoltaika[[#This Row],[czy_st_nie_wzrastal]]</f>
        <v>1</v>
      </c>
      <c r="J136" s="4">
        <f>HOUR(fotowoltaika[[#This Row],[zach]]-fotowoltaika[[#This Row],[wsch]])</f>
        <v>15</v>
      </c>
      <c r="K136">
        <f>(K135+(0.8*fotowoltaika[[#This Row],[oddanie]])-(fotowoltaika[[#This Row],[pobranie]]))</f>
        <v>41.674000000000035</v>
      </c>
      <c r="L136">
        <f>IF(fotowoltaika[[#This Row],[Saldo]]&lt;50,1,0)</f>
        <v>1</v>
      </c>
      <c r="M136">
        <f>IF(fotowoltaika[[#This Row],[Saldo]]&lt;0,1,0)</f>
        <v>0</v>
      </c>
    </row>
    <row r="137" spans="1:13" x14ac:dyDescent="0.3">
      <c r="A137" s="1">
        <v>44697</v>
      </c>
      <c r="B137" s="2">
        <v>0.19262731481481482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>IF(AND(fotowoltaika[[#This Row],[st_zach]]&lt;=D136,fotowoltaika[[#This Row],[produkcja]]&gt;=E136),1,0)</f>
        <v>1</v>
      </c>
      <c r="I137">
        <f>(I136+fotowoltaika[[#This Row],[czy_st_nie_wzrastal]])*fotowoltaika[[#This Row],[czy_st_nie_wzrastal]]</f>
        <v>2</v>
      </c>
      <c r="J137" s="4">
        <f>HOUR(fotowoltaika[[#This Row],[zach]]-fotowoltaika[[#This Row],[wsch]])</f>
        <v>15</v>
      </c>
      <c r="K137">
        <f>(K136+(0.8*fotowoltaika[[#This Row],[oddanie]])-(fotowoltaika[[#This Row],[pobranie]]))</f>
        <v>44.072000000000031</v>
      </c>
      <c r="L137">
        <f>IF(fotowoltaika[[#This Row],[Saldo]]&lt;50,1,0)</f>
        <v>1</v>
      </c>
      <c r="M137">
        <f>IF(fotowoltaika[[#This Row],[Saldo]]&lt;0,1,0)</f>
        <v>0</v>
      </c>
    </row>
    <row r="138" spans="1:13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>IF(AND(fotowoltaika[[#This Row],[st_zach]]&lt;=D137,fotowoltaika[[#This Row],[produkcja]]&gt;=E137),1,0)</f>
        <v>0</v>
      </c>
      <c r="I138">
        <f>(I137+fotowoltaika[[#This Row],[czy_st_nie_wzrastal]])*fotowoltaika[[#This Row],[czy_st_nie_wzrastal]]</f>
        <v>0</v>
      </c>
      <c r="J138" s="4">
        <f>HOUR(fotowoltaika[[#This Row],[zach]]-fotowoltaika[[#This Row],[wsch]])</f>
        <v>15</v>
      </c>
      <c r="K138">
        <f>(K137+(0.8*fotowoltaika[[#This Row],[oddanie]])-(fotowoltaika[[#This Row],[pobranie]]))</f>
        <v>47.204000000000029</v>
      </c>
      <c r="L138">
        <f>IF(fotowoltaika[[#This Row],[Saldo]]&lt;50,1,0)</f>
        <v>1</v>
      </c>
      <c r="M138">
        <f>IF(fotowoltaika[[#This Row],[Saldo]]&lt;0,1,0)</f>
        <v>0</v>
      </c>
    </row>
    <row r="139" spans="1:13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>IF(AND(fotowoltaika[[#This Row],[st_zach]]&lt;=D138,fotowoltaika[[#This Row],[produkcja]]&gt;=E138),1,0)</f>
        <v>1</v>
      </c>
      <c r="I139">
        <f>(I138+fotowoltaika[[#This Row],[czy_st_nie_wzrastal]])*fotowoltaika[[#This Row],[czy_st_nie_wzrastal]]</f>
        <v>1</v>
      </c>
      <c r="J139" s="4">
        <f>HOUR(fotowoltaika[[#This Row],[zach]]-fotowoltaika[[#This Row],[wsch]])</f>
        <v>15</v>
      </c>
      <c r="K139">
        <f>(K138+(0.8*fotowoltaika[[#This Row],[oddanie]])-(fotowoltaika[[#This Row],[pobranie]]))</f>
        <v>49.606000000000023</v>
      </c>
      <c r="L139">
        <f>IF(fotowoltaika[[#This Row],[Saldo]]&lt;50,1,0)</f>
        <v>1</v>
      </c>
      <c r="M139">
        <f>IF(fotowoltaika[[#This Row],[Saldo]]&lt;0,1,0)</f>
        <v>0</v>
      </c>
    </row>
    <row r="140" spans="1:13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>IF(AND(fotowoltaika[[#This Row],[st_zach]]&lt;=D139,fotowoltaika[[#This Row],[produkcja]]&gt;=E139),1,0)</f>
        <v>0</v>
      </c>
      <c r="I140">
        <f>(I139+fotowoltaika[[#This Row],[czy_st_nie_wzrastal]])*fotowoltaika[[#This Row],[czy_st_nie_wzrastal]]</f>
        <v>0</v>
      </c>
      <c r="J140" s="4">
        <f>HOUR(fotowoltaika[[#This Row],[zach]]-fotowoltaika[[#This Row],[wsch]])</f>
        <v>15</v>
      </c>
      <c r="K140">
        <f>(K139+(0.8*fotowoltaika[[#This Row],[oddanie]])-(fotowoltaika[[#This Row],[pobranie]]))</f>
        <v>50.510000000000026</v>
      </c>
      <c r="L140">
        <f>IF(fotowoltaika[[#This Row],[Saldo]]&lt;50,1,0)</f>
        <v>0</v>
      </c>
      <c r="M140">
        <f>IF(fotowoltaika[[#This Row],[Saldo]]&lt;0,1,0)</f>
        <v>0</v>
      </c>
    </row>
    <row r="141" spans="1:13" x14ac:dyDescent="0.3">
      <c r="A141" s="1">
        <v>44701</v>
      </c>
      <c r="B141" s="2">
        <v>0.18864583333333335</v>
      </c>
      <c r="C141" s="2">
        <v>0.85652777777777778</v>
      </c>
      <c r="D141">
        <v>3</v>
      </c>
      <c r="E141">
        <v>6.62</v>
      </c>
      <c r="F141">
        <v>4.3</v>
      </c>
      <c r="G141">
        <v>2.2799999999999998</v>
      </c>
      <c r="H141">
        <f>IF(AND(fotowoltaika[[#This Row],[st_zach]]&lt;=D140,fotowoltaika[[#This Row],[produkcja]]&gt;=E140),1,0)</f>
        <v>1</v>
      </c>
      <c r="I141">
        <f>(I140+fotowoltaika[[#This Row],[czy_st_nie_wzrastal]])*fotowoltaika[[#This Row],[czy_st_nie_wzrastal]]</f>
        <v>1</v>
      </c>
      <c r="J141" s="4">
        <f>HOUR(fotowoltaika[[#This Row],[zach]]-fotowoltaika[[#This Row],[wsch]])</f>
        <v>16</v>
      </c>
      <c r="K141">
        <f>(K140+(0.8*fotowoltaika[[#This Row],[oddanie]])-(fotowoltaika[[#This Row],[pobranie]]))</f>
        <v>51.670000000000023</v>
      </c>
      <c r="L141">
        <f>IF(fotowoltaika[[#This Row],[Saldo]]&lt;50,1,0)</f>
        <v>0</v>
      </c>
      <c r="M141">
        <f>IF(fotowoltaika[[#This Row],[Saldo]]&lt;0,1,0)</f>
        <v>0</v>
      </c>
    </row>
    <row r="142" spans="1:13" x14ac:dyDescent="0.3">
      <c r="A142" s="1">
        <v>44702</v>
      </c>
      <c r="B142" s="2">
        <v>0.1877199074074074</v>
      </c>
      <c r="C142" s="2">
        <v>0.85754629629629631</v>
      </c>
      <c r="D142">
        <v>2</v>
      </c>
      <c r="E142">
        <v>5.03</v>
      </c>
      <c r="F142">
        <v>2.81</v>
      </c>
      <c r="G142">
        <v>3.05</v>
      </c>
      <c r="H142">
        <f>IF(AND(fotowoltaika[[#This Row],[st_zach]]&lt;=D141,fotowoltaika[[#This Row],[produkcja]]&gt;=E141),1,0)</f>
        <v>0</v>
      </c>
      <c r="I142">
        <f>(I141+fotowoltaika[[#This Row],[czy_st_nie_wzrastal]])*fotowoltaika[[#This Row],[czy_st_nie_wzrastal]]</f>
        <v>0</v>
      </c>
      <c r="J142" s="4">
        <f>HOUR(fotowoltaika[[#This Row],[zach]]-fotowoltaika[[#This Row],[wsch]])</f>
        <v>16</v>
      </c>
      <c r="K142">
        <f>(K141+(0.8*fotowoltaika[[#This Row],[oddanie]])-(fotowoltaika[[#This Row],[pobranie]]))</f>
        <v>50.868000000000023</v>
      </c>
      <c r="L142">
        <f>IF(fotowoltaika[[#This Row],[Saldo]]&lt;50,1,0)</f>
        <v>0</v>
      </c>
      <c r="M142">
        <f>IF(fotowoltaika[[#This Row],[Saldo]]&lt;0,1,0)</f>
        <v>0</v>
      </c>
    </row>
    <row r="143" spans="1:13" x14ac:dyDescent="0.3">
      <c r="A143" s="1">
        <v>44703</v>
      </c>
      <c r="B143" s="2">
        <v>0.18682870370370369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>IF(AND(fotowoltaika[[#This Row],[st_zach]]&lt;=D142,fotowoltaika[[#This Row],[produkcja]]&gt;=E142),1,0)</f>
        <v>1</v>
      </c>
      <c r="I143">
        <f>(I142+fotowoltaika[[#This Row],[czy_st_nie_wzrastal]])*fotowoltaika[[#This Row],[czy_st_nie_wzrastal]]</f>
        <v>1</v>
      </c>
      <c r="J143" s="4">
        <f>HOUR(fotowoltaika[[#This Row],[zach]]-fotowoltaika[[#This Row],[wsch]])</f>
        <v>16</v>
      </c>
      <c r="K143">
        <f>(K142+(0.8*fotowoltaika[[#This Row],[oddanie]])-(fotowoltaika[[#This Row],[pobranie]]))</f>
        <v>51.240000000000023</v>
      </c>
      <c r="L143">
        <f>IF(fotowoltaika[[#This Row],[Saldo]]&lt;50,1,0)</f>
        <v>0</v>
      </c>
      <c r="M143">
        <f>IF(fotowoltaika[[#This Row],[Saldo]]&lt;0,1,0)</f>
        <v>0</v>
      </c>
    </row>
    <row r="144" spans="1:13" x14ac:dyDescent="0.3">
      <c r="A144" s="1">
        <v>44704</v>
      </c>
      <c r="B144" s="2">
        <v>0.18594907407407407</v>
      </c>
      <c r="C144" s="2">
        <v>0.85952546296296295</v>
      </c>
      <c r="D144">
        <v>8</v>
      </c>
      <c r="E144">
        <v>1.36</v>
      </c>
      <c r="F144">
        <v>0.57999999999999996</v>
      </c>
      <c r="G144">
        <v>4.95</v>
      </c>
      <c r="H144">
        <f>IF(AND(fotowoltaika[[#This Row],[st_zach]]&lt;=D143,fotowoltaika[[#This Row],[produkcja]]&gt;=E143),1,0)</f>
        <v>0</v>
      </c>
      <c r="I144">
        <f>(I143+fotowoltaika[[#This Row],[czy_st_nie_wzrastal]])*fotowoltaika[[#This Row],[czy_st_nie_wzrastal]]</f>
        <v>0</v>
      </c>
      <c r="J144" s="4">
        <f>HOUR(fotowoltaika[[#This Row],[zach]]-fotowoltaika[[#This Row],[wsch]])</f>
        <v>16</v>
      </c>
      <c r="K144">
        <f>(K143+(0.8*fotowoltaika[[#This Row],[oddanie]])-(fotowoltaika[[#This Row],[pobranie]]))</f>
        <v>46.754000000000019</v>
      </c>
      <c r="L144">
        <f>IF(fotowoltaika[[#This Row],[Saldo]]&lt;50,1,0)</f>
        <v>1</v>
      </c>
      <c r="M144">
        <f>IF(fotowoltaika[[#This Row],[Saldo]]&lt;0,1,0)</f>
        <v>0</v>
      </c>
    </row>
    <row r="145" spans="1:13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>IF(AND(fotowoltaika[[#This Row],[st_zach]]&lt;=D144,fotowoltaika[[#This Row],[produkcja]]&gt;=E144),1,0)</f>
        <v>1</v>
      </c>
      <c r="I145">
        <f>(I144+fotowoltaika[[#This Row],[czy_st_nie_wzrastal]])*fotowoltaika[[#This Row],[czy_st_nie_wzrastal]]</f>
        <v>1</v>
      </c>
      <c r="J145" s="4">
        <f>HOUR(fotowoltaika[[#This Row],[zach]]-fotowoltaika[[#This Row],[wsch]])</f>
        <v>16</v>
      </c>
      <c r="K145">
        <f>(K144+(0.8*fotowoltaika[[#This Row],[oddanie]])-(fotowoltaika[[#This Row],[pobranie]]))</f>
        <v>43.356000000000023</v>
      </c>
      <c r="L145">
        <f>IF(fotowoltaika[[#This Row],[Saldo]]&lt;50,1,0)</f>
        <v>1</v>
      </c>
      <c r="M145">
        <f>IF(fotowoltaika[[#This Row],[Saldo]]&lt;0,1,0)</f>
        <v>0</v>
      </c>
    </row>
    <row r="146" spans="1:13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>IF(AND(fotowoltaika[[#This Row],[st_zach]]&lt;=D145,fotowoltaika[[#This Row],[produkcja]]&gt;=E145),1,0)</f>
        <v>0</v>
      </c>
      <c r="I146">
        <f>(I145+fotowoltaika[[#This Row],[czy_st_nie_wzrastal]])*fotowoltaika[[#This Row],[czy_st_nie_wzrastal]]</f>
        <v>0</v>
      </c>
      <c r="J146" s="4">
        <f>HOUR(fotowoltaika[[#This Row],[zach]]-fotowoltaika[[#This Row],[wsch]])</f>
        <v>16</v>
      </c>
      <c r="K146">
        <f>(K145+(0.8*fotowoltaika[[#This Row],[oddanie]])-(fotowoltaika[[#This Row],[pobranie]]))</f>
        <v>39.428000000000026</v>
      </c>
      <c r="L146">
        <f>IF(fotowoltaika[[#This Row],[Saldo]]&lt;50,1,0)</f>
        <v>1</v>
      </c>
      <c r="M146">
        <f>IF(fotowoltaika[[#This Row],[Saldo]]&lt;0,1,0)</f>
        <v>0</v>
      </c>
    </row>
    <row r="147" spans="1:13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>IF(AND(fotowoltaika[[#This Row],[st_zach]]&lt;=D146,fotowoltaika[[#This Row],[produkcja]]&gt;=E146),1,0)</f>
        <v>1</v>
      </c>
      <c r="I147">
        <f>(I146+fotowoltaika[[#This Row],[czy_st_nie_wzrastal]])*fotowoltaika[[#This Row],[czy_st_nie_wzrastal]]</f>
        <v>1</v>
      </c>
      <c r="J147" s="4">
        <f>HOUR(fotowoltaika[[#This Row],[zach]]-fotowoltaika[[#This Row],[wsch]])</f>
        <v>16</v>
      </c>
      <c r="K147">
        <f>(K146+(0.8*fotowoltaika[[#This Row],[oddanie]])-(fotowoltaika[[#This Row],[pobranie]]))</f>
        <v>36.328000000000031</v>
      </c>
      <c r="L147">
        <f>IF(fotowoltaika[[#This Row],[Saldo]]&lt;50,1,0)</f>
        <v>1</v>
      </c>
      <c r="M147">
        <f>IF(fotowoltaika[[#This Row],[Saldo]]&lt;0,1,0)</f>
        <v>0</v>
      </c>
    </row>
    <row r="148" spans="1:13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>IF(AND(fotowoltaika[[#This Row],[st_zach]]&lt;=D147,fotowoltaika[[#This Row],[produkcja]]&gt;=E147),1,0)</f>
        <v>1</v>
      </c>
      <c r="I148">
        <f>(I147+fotowoltaika[[#This Row],[czy_st_nie_wzrastal]])*fotowoltaika[[#This Row],[czy_st_nie_wzrastal]]</f>
        <v>2</v>
      </c>
      <c r="J148" s="4">
        <f>HOUR(fotowoltaika[[#This Row],[zach]]-fotowoltaika[[#This Row],[wsch]])</f>
        <v>16</v>
      </c>
      <c r="K148">
        <f>(K147+(0.8*fotowoltaika[[#This Row],[oddanie]])-(fotowoltaika[[#This Row],[pobranie]]))</f>
        <v>33.586000000000027</v>
      </c>
      <c r="L148">
        <f>IF(fotowoltaika[[#This Row],[Saldo]]&lt;50,1,0)</f>
        <v>1</v>
      </c>
      <c r="M148">
        <f>IF(fotowoltaika[[#This Row],[Saldo]]&lt;0,1,0)</f>
        <v>0</v>
      </c>
    </row>
    <row r="149" spans="1:13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>IF(AND(fotowoltaika[[#This Row],[st_zach]]&lt;=D148,fotowoltaika[[#This Row],[produkcja]]&gt;=E148),1,0)</f>
        <v>1</v>
      </c>
      <c r="I149">
        <f>(I148+fotowoltaika[[#This Row],[czy_st_nie_wzrastal]])*fotowoltaika[[#This Row],[czy_st_nie_wzrastal]]</f>
        <v>3</v>
      </c>
      <c r="J149" s="4">
        <f>HOUR(fotowoltaika[[#This Row],[zach]]-fotowoltaika[[#This Row],[wsch]])</f>
        <v>16</v>
      </c>
      <c r="K149">
        <f>(K148+(0.8*fotowoltaika[[#This Row],[oddanie]])-(fotowoltaika[[#This Row],[pobranie]]))</f>
        <v>33.986000000000026</v>
      </c>
      <c r="L149">
        <f>IF(fotowoltaika[[#This Row],[Saldo]]&lt;50,1,0)</f>
        <v>1</v>
      </c>
      <c r="M149">
        <f>IF(fotowoltaika[[#This Row],[Saldo]]&lt;0,1,0)</f>
        <v>0</v>
      </c>
    </row>
    <row r="150" spans="1:13" x14ac:dyDescent="0.3">
      <c r="A150" s="1">
        <v>44710</v>
      </c>
      <c r="B150" s="2">
        <v>0.18135416666666668</v>
      </c>
      <c r="C150" s="2">
        <v>0.86504629629629626</v>
      </c>
      <c r="D150">
        <v>1</v>
      </c>
      <c r="E150">
        <v>15.38</v>
      </c>
      <c r="F150">
        <v>10.54</v>
      </c>
      <c r="G150">
        <v>2.16</v>
      </c>
      <c r="H150">
        <f>IF(AND(fotowoltaika[[#This Row],[st_zach]]&lt;=D149,fotowoltaika[[#This Row],[produkcja]]&gt;=E149),1,0)</f>
        <v>1</v>
      </c>
      <c r="I150">
        <f>(I149+fotowoltaika[[#This Row],[czy_st_nie_wzrastal]])*fotowoltaika[[#This Row],[czy_st_nie_wzrastal]]</f>
        <v>4</v>
      </c>
      <c r="J150" s="4">
        <f>HOUR(fotowoltaika[[#This Row],[zach]]-fotowoltaika[[#This Row],[wsch]])</f>
        <v>16</v>
      </c>
      <c r="K150">
        <f>(K149+(0.8*fotowoltaika[[#This Row],[oddanie]])-(fotowoltaika[[#This Row],[pobranie]]))</f>
        <v>40.258000000000024</v>
      </c>
      <c r="L150">
        <f>IF(fotowoltaika[[#This Row],[Saldo]]&lt;50,1,0)</f>
        <v>1</v>
      </c>
      <c r="M150">
        <f>IF(fotowoltaika[[#This Row],[Saldo]]&lt;0,1,0)</f>
        <v>0</v>
      </c>
    </row>
    <row r="151" spans="1:13" x14ac:dyDescent="0.3">
      <c r="A151" s="1">
        <v>44711</v>
      </c>
      <c r="B151" s="2">
        <v>0.18069444444444444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>IF(AND(fotowoltaika[[#This Row],[st_zach]]&lt;=D150,fotowoltaika[[#This Row],[produkcja]]&gt;=E150),1,0)</f>
        <v>1</v>
      </c>
      <c r="I151">
        <f>(I150+fotowoltaika[[#This Row],[czy_st_nie_wzrastal]])*fotowoltaika[[#This Row],[czy_st_nie_wzrastal]]</f>
        <v>5</v>
      </c>
      <c r="J151" s="4">
        <f>HOUR(fotowoltaika[[#This Row],[zach]]-fotowoltaika[[#This Row],[wsch]])</f>
        <v>16</v>
      </c>
      <c r="K151">
        <f>(K150+(0.8*fotowoltaika[[#This Row],[oddanie]])-(fotowoltaika[[#This Row],[pobranie]]))</f>
        <v>46.762000000000022</v>
      </c>
      <c r="L151">
        <f>IF(fotowoltaika[[#This Row],[Saldo]]&lt;50,1,0)</f>
        <v>1</v>
      </c>
      <c r="M151">
        <f>IF(fotowoltaika[[#This Row],[Saldo]]&lt;0,1,0)</f>
        <v>0</v>
      </c>
    </row>
    <row r="152" spans="1:13" x14ac:dyDescent="0.3">
      <c r="A152" s="1">
        <v>44712</v>
      </c>
      <c r="B152" s="2">
        <v>0.18006944444444445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>IF(AND(fotowoltaika[[#This Row],[st_zach]]&lt;=D151,fotowoltaika[[#This Row],[produkcja]]&gt;=E151),1,0)</f>
        <v>1</v>
      </c>
      <c r="I152">
        <f>(I151+fotowoltaika[[#This Row],[czy_st_nie_wzrastal]])*fotowoltaika[[#This Row],[czy_st_nie_wzrastal]]</f>
        <v>6</v>
      </c>
      <c r="J152" s="4">
        <f>HOUR(fotowoltaika[[#This Row],[zach]]-fotowoltaika[[#This Row],[wsch]])</f>
        <v>16</v>
      </c>
      <c r="K152">
        <f>(K151+(0.8*fotowoltaika[[#This Row],[oddanie]])-(fotowoltaika[[#This Row],[pobranie]]))</f>
        <v>53.892000000000024</v>
      </c>
      <c r="L152">
        <f>IF(fotowoltaika[[#This Row],[Saldo]]&lt;50,1,0)</f>
        <v>0</v>
      </c>
      <c r="M152">
        <f>IF(fotowoltaika[[#This Row],[Saldo]]&lt;0,1,0)</f>
        <v>0</v>
      </c>
    </row>
    <row r="153" spans="1:13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>IF(AND(fotowoltaika[[#This Row],[st_zach]]&lt;=D152,fotowoltaika[[#This Row],[produkcja]]&gt;=E152),1,0)</f>
        <v>0</v>
      </c>
      <c r="I153">
        <f>(I152+fotowoltaika[[#This Row],[czy_st_nie_wzrastal]])*fotowoltaika[[#This Row],[czy_st_nie_wzrastal]]</f>
        <v>0</v>
      </c>
      <c r="J153" s="4">
        <f>HOUR(fotowoltaika[[#This Row],[zach]]-fotowoltaika[[#This Row],[wsch]])</f>
        <v>16</v>
      </c>
      <c r="K153">
        <f>(K152+(0.8*fotowoltaika[[#This Row],[oddanie]])-(fotowoltaika[[#This Row],[pobranie]]))</f>
        <v>55.892000000000024</v>
      </c>
      <c r="L153">
        <f>IF(fotowoltaika[[#This Row],[Saldo]]&lt;50,1,0)</f>
        <v>0</v>
      </c>
      <c r="M153">
        <f>IF(fotowoltaika[[#This Row],[Saldo]]&lt;0,1,0)</f>
        <v>0</v>
      </c>
    </row>
    <row r="154" spans="1:13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>IF(AND(fotowoltaika[[#This Row],[st_zach]]&lt;=D153,fotowoltaika[[#This Row],[produkcja]]&gt;=E153),1,0)</f>
        <v>0</v>
      </c>
      <c r="I154">
        <f>(I153+fotowoltaika[[#This Row],[czy_st_nie_wzrastal]])*fotowoltaika[[#This Row],[czy_st_nie_wzrastal]]</f>
        <v>0</v>
      </c>
      <c r="J154" s="4">
        <f>HOUR(fotowoltaika[[#This Row],[zach]]-fotowoltaika[[#This Row],[wsch]])</f>
        <v>16</v>
      </c>
      <c r="K154">
        <f>(K153+(0.8*fotowoltaika[[#This Row],[oddanie]])-(fotowoltaika[[#This Row],[pobranie]]))</f>
        <v>55.480000000000025</v>
      </c>
      <c r="L154">
        <f>IF(fotowoltaika[[#This Row],[Saldo]]&lt;50,1,0)</f>
        <v>0</v>
      </c>
      <c r="M154">
        <f>IF(fotowoltaika[[#This Row],[Saldo]]&lt;0,1,0)</f>
        <v>0</v>
      </c>
    </row>
    <row r="155" spans="1:13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>IF(AND(fotowoltaika[[#This Row],[st_zach]]&lt;=D154,fotowoltaika[[#This Row],[produkcja]]&gt;=E154),1,0)</f>
        <v>1</v>
      </c>
      <c r="I155">
        <f>(I154+fotowoltaika[[#This Row],[czy_st_nie_wzrastal]])*fotowoltaika[[#This Row],[czy_st_nie_wzrastal]]</f>
        <v>1</v>
      </c>
      <c r="J155" s="4">
        <f>HOUR(fotowoltaika[[#This Row],[zach]]-fotowoltaika[[#This Row],[wsch]])</f>
        <v>16</v>
      </c>
      <c r="K155">
        <f>(K154+(0.8*fotowoltaika[[#This Row],[oddanie]])-(fotowoltaika[[#This Row],[pobranie]]))</f>
        <v>62.524000000000022</v>
      </c>
      <c r="L155">
        <f>IF(fotowoltaika[[#This Row],[Saldo]]&lt;50,1,0)</f>
        <v>0</v>
      </c>
      <c r="M155">
        <f>IF(fotowoltaika[[#This Row],[Saldo]]&lt;0,1,0)</f>
        <v>0</v>
      </c>
    </row>
    <row r="156" spans="1:13" x14ac:dyDescent="0.3">
      <c r="A156" s="1">
        <v>44716</v>
      </c>
      <c r="B156" s="2">
        <v>0.17791666666666667</v>
      </c>
      <c r="C156" s="2">
        <v>0.8697569444444444</v>
      </c>
      <c r="D156">
        <v>2</v>
      </c>
      <c r="E156">
        <v>5.79</v>
      </c>
      <c r="F156">
        <v>1.35</v>
      </c>
      <c r="G156">
        <v>1.1200000000000001</v>
      </c>
      <c r="H156">
        <f>IF(AND(fotowoltaika[[#This Row],[st_zach]]&lt;=D155,fotowoltaika[[#This Row],[produkcja]]&gt;=E155),1,0)</f>
        <v>0</v>
      </c>
      <c r="I156">
        <f>(I155+fotowoltaika[[#This Row],[czy_st_nie_wzrastal]])*fotowoltaika[[#This Row],[czy_st_nie_wzrastal]]</f>
        <v>0</v>
      </c>
      <c r="J156" s="4">
        <f>HOUR(fotowoltaika[[#This Row],[zach]]-fotowoltaika[[#This Row],[wsch]])</f>
        <v>16</v>
      </c>
      <c r="K156">
        <f>(K155+(0.8*fotowoltaika[[#This Row],[oddanie]])-(fotowoltaika[[#This Row],[pobranie]]))</f>
        <v>62.484000000000023</v>
      </c>
      <c r="L156">
        <f>IF(fotowoltaika[[#This Row],[Saldo]]&lt;50,1,0)</f>
        <v>0</v>
      </c>
      <c r="M156">
        <f>IF(fotowoltaika[[#This Row],[Saldo]]&lt;0,1,0)</f>
        <v>0</v>
      </c>
    </row>
    <row r="157" spans="1:13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>IF(AND(fotowoltaika[[#This Row],[st_zach]]&lt;=D156,fotowoltaika[[#This Row],[produkcja]]&gt;=E156),1,0)</f>
        <v>1</v>
      </c>
      <c r="I157">
        <f>(I156+fotowoltaika[[#This Row],[czy_st_nie_wzrastal]])*fotowoltaika[[#This Row],[czy_st_nie_wzrastal]]</f>
        <v>1</v>
      </c>
      <c r="J157" s="4">
        <f>HOUR(fotowoltaika[[#This Row],[zach]]-fotowoltaika[[#This Row],[wsch]])</f>
        <v>16</v>
      </c>
      <c r="K157">
        <f>(K156+(0.8*fotowoltaika[[#This Row],[oddanie]])-(fotowoltaika[[#This Row],[pobranie]]))</f>
        <v>63.932000000000023</v>
      </c>
      <c r="L157">
        <f>IF(fotowoltaika[[#This Row],[Saldo]]&lt;50,1,0)</f>
        <v>0</v>
      </c>
      <c r="M157">
        <f>IF(fotowoltaika[[#This Row],[Saldo]]&lt;0,1,0)</f>
        <v>0</v>
      </c>
    </row>
    <row r="158" spans="1:13" x14ac:dyDescent="0.3">
      <c r="A158" s="1">
        <v>44718</v>
      </c>
      <c r="B158" s="2">
        <v>0.17703703703703705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>IF(AND(fotowoltaika[[#This Row],[st_zach]]&lt;=D157,fotowoltaika[[#This Row],[produkcja]]&gt;=E157),1,0)</f>
        <v>1</v>
      </c>
      <c r="I158">
        <f>(I157+fotowoltaika[[#This Row],[czy_st_nie_wzrastal]])*fotowoltaika[[#This Row],[czy_st_nie_wzrastal]]</f>
        <v>2</v>
      </c>
      <c r="J158" s="4">
        <f>HOUR(fotowoltaika[[#This Row],[zach]]-fotowoltaika[[#This Row],[wsch]])</f>
        <v>16</v>
      </c>
      <c r="K158">
        <f>(K157+(0.8*fotowoltaika[[#This Row],[oddanie]])-(fotowoltaika[[#This Row],[pobranie]]))</f>
        <v>65.112000000000023</v>
      </c>
      <c r="L158">
        <f>IF(fotowoltaika[[#This Row],[Saldo]]&lt;50,1,0)</f>
        <v>0</v>
      </c>
      <c r="M158">
        <f>IF(fotowoltaika[[#This Row],[Saldo]]&lt;0,1,0)</f>
        <v>0</v>
      </c>
    </row>
    <row r="159" spans="1:13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>IF(AND(fotowoltaika[[#This Row],[st_zach]]&lt;=D158,fotowoltaika[[#This Row],[produkcja]]&gt;=E158),1,0)</f>
        <v>1</v>
      </c>
      <c r="I159">
        <f>(I158+fotowoltaika[[#This Row],[czy_st_nie_wzrastal]])*fotowoltaika[[#This Row],[czy_st_nie_wzrastal]]</f>
        <v>3</v>
      </c>
      <c r="J159" s="4">
        <f>HOUR(fotowoltaika[[#This Row],[zach]]-fotowoltaika[[#This Row],[wsch]])</f>
        <v>16</v>
      </c>
      <c r="K159">
        <f>(K158+(0.8*fotowoltaika[[#This Row],[oddanie]])-(fotowoltaika[[#This Row],[pobranie]]))</f>
        <v>71.884000000000029</v>
      </c>
      <c r="L159">
        <f>IF(fotowoltaika[[#This Row],[Saldo]]&lt;50,1,0)</f>
        <v>0</v>
      </c>
      <c r="M159">
        <f>IF(fotowoltaika[[#This Row],[Saldo]]&lt;0,1,0)</f>
        <v>0</v>
      </c>
    </row>
    <row r="160" spans="1:13" x14ac:dyDescent="0.3">
      <c r="A160" s="1">
        <v>44720</v>
      </c>
      <c r="B160" s="2">
        <v>0.17631944444444445</v>
      </c>
      <c r="C160" s="2">
        <v>0.87237268518518518</v>
      </c>
      <c r="D160">
        <v>0</v>
      </c>
      <c r="E160">
        <v>12.57</v>
      </c>
      <c r="F160">
        <v>6.64</v>
      </c>
      <c r="G160">
        <v>3.26</v>
      </c>
      <c r="H160">
        <f>IF(AND(fotowoltaika[[#This Row],[st_zach]]&lt;=D159,fotowoltaika[[#This Row],[produkcja]]&gt;=E159),1,0)</f>
        <v>0</v>
      </c>
      <c r="I160">
        <f>(I159+fotowoltaika[[#This Row],[czy_st_nie_wzrastal]])*fotowoltaika[[#This Row],[czy_st_nie_wzrastal]]</f>
        <v>0</v>
      </c>
      <c r="J160" s="4">
        <f>HOUR(fotowoltaika[[#This Row],[zach]]-fotowoltaika[[#This Row],[wsch]])</f>
        <v>16</v>
      </c>
      <c r="K160">
        <f>(K159+(0.8*fotowoltaika[[#This Row],[oddanie]])-(fotowoltaika[[#This Row],[pobranie]]))</f>
        <v>73.936000000000021</v>
      </c>
      <c r="L160">
        <f>IF(fotowoltaika[[#This Row],[Saldo]]&lt;50,1,0)</f>
        <v>0</v>
      </c>
      <c r="M160">
        <f>IF(fotowoltaika[[#This Row],[Saldo]]&lt;0,1,0)</f>
        <v>0</v>
      </c>
    </row>
    <row r="161" spans="1:13" x14ac:dyDescent="0.3">
      <c r="A161" s="1">
        <v>44721</v>
      </c>
      <c r="B161" s="2">
        <v>0.17600694444444445</v>
      </c>
      <c r="C161" s="2">
        <v>0.8729513888888889</v>
      </c>
      <c r="D161">
        <v>4</v>
      </c>
      <c r="E161">
        <v>4.3</v>
      </c>
      <c r="F161">
        <v>2.36</v>
      </c>
      <c r="G161">
        <v>3.54</v>
      </c>
      <c r="H161">
        <f>IF(AND(fotowoltaika[[#This Row],[st_zach]]&lt;=D160,fotowoltaika[[#This Row],[produkcja]]&gt;=E160),1,0)</f>
        <v>0</v>
      </c>
      <c r="I161">
        <f>(I160+fotowoltaika[[#This Row],[czy_st_nie_wzrastal]])*fotowoltaika[[#This Row],[czy_st_nie_wzrastal]]</f>
        <v>0</v>
      </c>
      <c r="J161" s="4">
        <f>HOUR(fotowoltaika[[#This Row],[zach]]-fotowoltaika[[#This Row],[wsch]])</f>
        <v>16</v>
      </c>
      <c r="K161">
        <f>(K160+(0.8*fotowoltaika[[#This Row],[oddanie]])-(fotowoltaika[[#This Row],[pobranie]]))</f>
        <v>72.28400000000002</v>
      </c>
      <c r="L161">
        <f>IF(fotowoltaika[[#This Row],[Saldo]]&lt;50,1,0)</f>
        <v>0</v>
      </c>
      <c r="M161">
        <f>IF(fotowoltaika[[#This Row],[Saldo]]&lt;0,1,0)</f>
        <v>0</v>
      </c>
    </row>
    <row r="162" spans="1:13" x14ac:dyDescent="0.3">
      <c r="A162" s="1">
        <v>44722</v>
      </c>
      <c r="B162" s="2">
        <v>0.17572916666666666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>IF(AND(fotowoltaika[[#This Row],[st_zach]]&lt;=D161,fotowoltaika[[#This Row],[produkcja]]&gt;=E161),1,0)</f>
        <v>1</v>
      </c>
      <c r="I162">
        <f>(I161+fotowoltaika[[#This Row],[czy_st_nie_wzrastal]])*fotowoltaika[[#This Row],[czy_st_nie_wzrastal]]</f>
        <v>1</v>
      </c>
      <c r="J162" s="4">
        <f>HOUR(fotowoltaika[[#This Row],[zach]]-fotowoltaika[[#This Row],[wsch]])</f>
        <v>16</v>
      </c>
      <c r="K162">
        <f>(K161+(0.8*fotowoltaika[[#This Row],[oddanie]])-(fotowoltaika[[#This Row],[pobranie]]))</f>
        <v>74.596000000000032</v>
      </c>
      <c r="L162">
        <f>IF(fotowoltaika[[#This Row],[Saldo]]&lt;50,1,0)</f>
        <v>0</v>
      </c>
      <c r="M162">
        <f>IF(fotowoltaika[[#This Row],[Saldo]]&lt;0,1,0)</f>
        <v>0</v>
      </c>
    </row>
    <row r="163" spans="1:13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>IF(AND(fotowoltaika[[#This Row],[st_zach]]&lt;=D162,fotowoltaika[[#This Row],[produkcja]]&gt;=E162),1,0)</f>
        <v>0</v>
      </c>
      <c r="I163">
        <f>(I162+fotowoltaika[[#This Row],[czy_st_nie_wzrastal]])*fotowoltaika[[#This Row],[czy_st_nie_wzrastal]]</f>
        <v>0</v>
      </c>
      <c r="J163" s="4">
        <f>HOUR(fotowoltaika[[#This Row],[zach]]-fotowoltaika[[#This Row],[wsch]])</f>
        <v>16</v>
      </c>
      <c r="K163">
        <f>(K162+(0.8*fotowoltaika[[#This Row],[oddanie]])-(fotowoltaika[[#This Row],[pobranie]]))</f>
        <v>75.268000000000029</v>
      </c>
      <c r="L163">
        <f>IF(fotowoltaika[[#This Row],[Saldo]]&lt;50,1,0)</f>
        <v>0</v>
      </c>
      <c r="M163">
        <f>IF(fotowoltaika[[#This Row],[Saldo]]&lt;0,1,0)</f>
        <v>0</v>
      </c>
    </row>
    <row r="164" spans="1:13" x14ac:dyDescent="0.3">
      <c r="A164" s="1">
        <v>44724</v>
      </c>
      <c r="B164" s="2">
        <v>0.17530092592592592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>IF(AND(fotowoltaika[[#This Row],[st_zach]]&lt;=D163,fotowoltaika[[#This Row],[produkcja]]&gt;=E163),1,0)</f>
        <v>0</v>
      </c>
      <c r="I164">
        <f>(I163+fotowoltaika[[#This Row],[czy_st_nie_wzrastal]])*fotowoltaika[[#This Row],[czy_st_nie_wzrastal]]</f>
        <v>0</v>
      </c>
      <c r="J164" s="4">
        <f>HOUR(fotowoltaika[[#This Row],[zach]]-fotowoltaika[[#This Row],[wsch]])</f>
        <v>16</v>
      </c>
      <c r="K164">
        <f>(K163+(0.8*fotowoltaika[[#This Row],[oddanie]])-(fotowoltaika[[#This Row],[pobranie]]))</f>
        <v>73.718000000000032</v>
      </c>
      <c r="L164">
        <f>IF(fotowoltaika[[#This Row],[Saldo]]&lt;50,1,0)</f>
        <v>0</v>
      </c>
      <c r="M164">
        <f>IF(fotowoltaika[[#This Row],[Saldo]]&lt;0,1,0)</f>
        <v>0</v>
      </c>
    </row>
    <row r="165" spans="1:13" x14ac:dyDescent="0.3">
      <c r="A165" s="1">
        <v>44725</v>
      </c>
      <c r="B165" s="2">
        <v>0.1751388888888889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>IF(AND(fotowoltaika[[#This Row],[st_zach]]&lt;=D164,fotowoltaika[[#This Row],[produkcja]]&gt;=E164),1,0)</f>
        <v>1</v>
      </c>
      <c r="I165">
        <f>(I164+fotowoltaika[[#This Row],[czy_st_nie_wzrastal]])*fotowoltaika[[#This Row],[czy_st_nie_wzrastal]]</f>
        <v>1</v>
      </c>
      <c r="J165" s="4">
        <f>HOUR(fotowoltaika[[#This Row],[zach]]-fotowoltaika[[#This Row],[wsch]])</f>
        <v>16</v>
      </c>
      <c r="K165">
        <f>(K164+(0.8*fotowoltaika[[#This Row],[oddanie]])-(fotowoltaika[[#This Row],[pobranie]]))</f>
        <v>74.412000000000035</v>
      </c>
      <c r="L165">
        <f>IF(fotowoltaika[[#This Row],[Saldo]]&lt;50,1,0)</f>
        <v>0</v>
      </c>
      <c r="M165">
        <f>IF(fotowoltaika[[#This Row],[Saldo]]&lt;0,1,0)</f>
        <v>0</v>
      </c>
    </row>
    <row r="166" spans="1:13" x14ac:dyDescent="0.3">
      <c r="A166" s="1">
        <v>44726</v>
      </c>
      <c r="B166" s="2">
        <v>0.17501157407407408</v>
      </c>
      <c r="C166" s="2">
        <v>0.87537037037037035</v>
      </c>
      <c r="D166">
        <v>0</v>
      </c>
      <c r="E166">
        <v>14.03</v>
      </c>
      <c r="F166">
        <v>5.68</v>
      </c>
      <c r="G166">
        <v>2.95</v>
      </c>
      <c r="H166">
        <f>IF(AND(fotowoltaika[[#This Row],[st_zach]]&lt;=D165,fotowoltaika[[#This Row],[produkcja]]&gt;=E165),1,0)</f>
        <v>1</v>
      </c>
      <c r="I166">
        <f>(I165+fotowoltaika[[#This Row],[czy_st_nie_wzrastal]])*fotowoltaika[[#This Row],[czy_st_nie_wzrastal]]</f>
        <v>2</v>
      </c>
      <c r="J166" s="4">
        <f>HOUR(fotowoltaika[[#This Row],[zach]]-fotowoltaika[[#This Row],[wsch]])</f>
        <v>16</v>
      </c>
      <c r="K166">
        <f>(K165+(0.8*fotowoltaika[[#This Row],[oddanie]])-(fotowoltaika[[#This Row],[pobranie]]))</f>
        <v>76.006000000000029</v>
      </c>
      <c r="L166">
        <f>IF(fotowoltaika[[#This Row],[Saldo]]&lt;50,1,0)</f>
        <v>0</v>
      </c>
      <c r="M166">
        <f>IF(fotowoltaika[[#This Row],[Saldo]]&lt;0,1,0)</f>
        <v>0</v>
      </c>
    </row>
    <row r="167" spans="1:13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>IF(AND(fotowoltaika[[#This Row],[st_zach]]&lt;=D166,fotowoltaika[[#This Row],[produkcja]]&gt;=E166),1,0)</f>
        <v>0</v>
      </c>
      <c r="I167">
        <f>(I166+fotowoltaika[[#This Row],[czy_st_nie_wzrastal]])*fotowoltaika[[#This Row],[czy_st_nie_wzrastal]]</f>
        <v>0</v>
      </c>
      <c r="J167" s="4">
        <f>HOUR(fotowoltaika[[#This Row],[zach]]-fotowoltaika[[#This Row],[wsch]])</f>
        <v>16</v>
      </c>
      <c r="K167">
        <f>(K166+(0.8*fotowoltaika[[#This Row],[oddanie]])-(fotowoltaika[[#This Row],[pobranie]]))</f>
        <v>76.54800000000003</v>
      </c>
      <c r="L167">
        <f>IF(fotowoltaika[[#This Row],[Saldo]]&lt;50,1,0)</f>
        <v>0</v>
      </c>
      <c r="M167">
        <f>IF(fotowoltaika[[#This Row],[Saldo]]&lt;0,1,0)</f>
        <v>0</v>
      </c>
    </row>
    <row r="168" spans="1:13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>IF(AND(fotowoltaika[[#This Row],[st_zach]]&lt;=D167,fotowoltaika[[#This Row],[produkcja]]&gt;=E167),1,0)</f>
        <v>1</v>
      </c>
      <c r="I168">
        <f>(I167+fotowoltaika[[#This Row],[czy_st_nie_wzrastal]])*fotowoltaika[[#This Row],[czy_st_nie_wzrastal]]</f>
        <v>1</v>
      </c>
      <c r="J168" s="4">
        <f>HOUR(fotowoltaika[[#This Row],[zach]]-fotowoltaika[[#This Row],[wsch]])</f>
        <v>16</v>
      </c>
      <c r="K168">
        <f>(K167+(0.8*fotowoltaika[[#This Row],[oddanie]])-(fotowoltaika[[#This Row],[pobranie]]))</f>
        <v>77.870000000000019</v>
      </c>
      <c r="L168">
        <f>IF(fotowoltaika[[#This Row],[Saldo]]&lt;50,1,0)</f>
        <v>0</v>
      </c>
      <c r="M168">
        <f>IF(fotowoltaika[[#This Row],[Saldo]]&lt;0,1,0)</f>
        <v>0</v>
      </c>
    </row>
    <row r="169" spans="1:13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>IF(AND(fotowoltaika[[#This Row],[st_zach]]&lt;=D168,fotowoltaika[[#This Row],[produkcja]]&gt;=E168),1,0)</f>
        <v>0</v>
      </c>
      <c r="I169">
        <f>(I168+fotowoltaika[[#This Row],[czy_st_nie_wzrastal]])*fotowoltaika[[#This Row],[czy_st_nie_wzrastal]]</f>
        <v>0</v>
      </c>
      <c r="J169" s="4">
        <f>HOUR(fotowoltaika[[#This Row],[zach]]-fotowoltaika[[#This Row],[wsch]])</f>
        <v>16</v>
      </c>
      <c r="K169">
        <f>(K168+(0.8*fotowoltaika[[#This Row],[oddanie]])-(fotowoltaika[[#This Row],[pobranie]]))</f>
        <v>77.340000000000018</v>
      </c>
      <c r="L169">
        <f>IF(fotowoltaika[[#This Row],[Saldo]]&lt;50,1,0)</f>
        <v>0</v>
      </c>
      <c r="M169">
        <f>IF(fotowoltaika[[#This Row],[Saldo]]&lt;0,1,0)</f>
        <v>0</v>
      </c>
    </row>
    <row r="170" spans="1:13" x14ac:dyDescent="0.3">
      <c r="A170" s="1">
        <v>44730</v>
      </c>
      <c r="B170" s="2">
        <v>0.17488425925925927</v>
      </c>
      <c r="C170" s="2">
        <v>0.87668981481481478</v>
      </c>
      <c r="D170">
        <v>0</v>
      </c>
      <c r="E170">
        <v>11.1</v>
      </c>
      <c r="F170">
        <v>4.6399999999999997</v>
      </c>
      <c r="G170">
        <v>3.54</v>
      </c>
      <c r="H170">
        <f>IF(AND(fotowoltaika[[#This Row],[st_zach]]&lt;=D169,fotowoltaika[[#This Row],[produkcja]]&gt;=E169),1,0)</f>
        <v>1</v>
      </c>
      <c r="I170">
        <f>(I169+fotowoltaika[[#This Row],[czy_st_nie_wzrastal]])*fotowoltaika[[#This Row],[czy_st_nie_wzrastal]]</f>
        <v>1</v>
      </c>
      <c r="J170" s="4">
        <f>HOUR(fotowoltaika[[#This Row],[zach]]-fotowoltaika[[#This Row],[wsch]])</f>
        <v>16</v>
      </c>
      <c r="K170">
        <f>(K169+(0.8*fotowoltaika[[#This Row],[oddanie]])-(fotowoltaika[[#This Row],[pobranie]]))</f>
        <v>77.512000000000015</v>
      </c>
      <c r="L170">
        <f>IF(fotowoltaika[[#This Row],[Saldo]]&lt;50,1,0)</f>
        <v>0</v>
      </c>
      <c r="M170">
        <f>IF(fotowoltaika[[#This Row],[Saldo]]&lt;0,1,0)</f>
        <v>0</v>
      </c>
    </row>
    <row r="171" spans="1:13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>IF(AND(fotowoltaika[[#This Row],[st_zach]]&lt;=D170,fotowoltaika[[#This Row],[produkcja]]&gt;=E170),1,0)</f>
        <v>1</v>
      </c>
      <c r="I171">
        <f>(I170+fotowoltaika[[#This Row],[czy_st_nie_wzrastal]])*fotowoltaika[[#This Row],[czy_st_nie_wzrastal]]</f>
        <v>2</v>
      </c>
      <c r="J171" s="4">
        <f>HOUR(fotowoltaika[[#This Row],[zach]]-fotowoltaika[[#This Row],[wsch]])</f>
        <v>16</v>
      </c>
      <c r="K171">
        <f>(K170+(0.8*fotowoltaika[[#This Row],[oddanie]])-(fotowoltaika[[#This Row],[pobranie]]))</f>
        <v>81.596000000000018</v>
      </c>
      <c r="L171">
        <f>IF(fotowoltaika[[#This Row],[Saldo]]&lt;50,1,0)</f>
        <v>0</v>
      </c>
      <c r="M171">
        <f>IF(fotowoltaika[[#This Row],[Saldo]]&lt;0,1,0)</f>
        <v>0</v>
      </c>
    </row>
    <row r="172" spans="1:13" x14ac:dyDescent="0.3">
      <c r="A172" s="1">
        <v>44732</v>
      </c>
      <c r="B172" s="2">
        <v>0.17504629629629628</v>
      </c>
      <c r="C172" s="2">
        <v>0.87712962962962959</v>
      </c>
      <c r="D172">
        <v>2</v>
      </c>
      <c r="E172">
        <v>8.8800000000000008</v>
      </c>
      <c r="F172">
        <v>6.14</v>
      </c>
      <c r="G172">
        <v>3.61</v>
      </c>
      <c r="H172">
        <f>IF(AND(fotowoltaika[[#This Row],[st_zach]]&lt;=D171,fotowoltaika[[#This Row],[produkcja]]&gt;=E171),1,0)</f>
        <v>0</v>
      </c>
      <c r="I172">
        <f>(I171+fotowoltaika[[#This Row],[czy_st_nie_wzrastal]])*fotowoltaika[[#This Row],[czy_st_nie_wzrastal]]</f>
        <v>0</v>
      </c>
      <c r="J172" s="4">
        <f>HOUR(fotowoltaika[[#This Row],[zach]]-fotowoltaika[[#This Row],[wsch]])</f>
        <v>16</v>
      </c>
      <c r="K172">
        <f>(K171+(0.8*fotowoltaika[[#This Row],[oddanie]])-(fotowoltaika[[#This Row],[pobranie]]))</f>
        <v>82.898000000000025</v>
      </c>
      <c r="L172">
        <f>IF(fotowoltaika[[#This Row],[Saldo]]&lt;50,1,0)</f>
        <v>0</v>
      </c>
      <c r="M172">
        <f>IF(fotowoltaika[[#This Row],[Saldo]]&lt;0,1,0)</f>
        <v>0</v>
      </c>
    </row>
    <row r="173" spans="1:13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>IF(AND(fotowoltaika[[#This Row],[st_zach]]&lt;=D172,fotowoltaika[[#This Row],[produkcja]]&gt;=E172),1,0)</f>
        <v>1</v>
      </c>
      <c r="I173">
        <f>(I172+fotowoltaika[[#This Row],[czy_st_nie_wzrastal]])*fotowoltaika[[#This Row],[czy_st_nie_wzrastal]]</f>
        <v>1</v>
      </c>
      <c r="J173" s="4">
        <f>HOUR(fotowoltaika[[#This Row],[zach]]-fotowoltaika[[#This Row],[wsch]])</f>
        <v>16</v>
      </c>
      <c r="K173">
        <f>(K172+(0.8*fotowoltaika[[#This Row],[oddanie]])-(fotowoltaika[[#This Row],[pobranie]]))</f>
        <v>85.216000000000037</v>
      </c>
      <c r="L173">
        <f>IF(fotowoltaika[[#This Row],[Saldo]]&lt;50,1,0)</f>
        <v>0</v>
      </c>
      <c r="M173">
        <f>IF(fotowoltaika[[#This Row],[Saldo]]&lt;0,1,0)</f>
        <v>0</v>
      </c>
    </row>
    <row r="174" spans="1:13" x14ac:dyDescent="0.3">
      <c r="A174" s="1">
        <v>44734</v>
      </c>
      <c r="B174" s="2">
        <v>0.1753587962962963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>IF(AND(fotowoltaika[[#This Row],[st_zach]]&lt;=D173,fotowoltaika[[#This Row],[produkcja]]&gt;=E173),1,0)</f>
        <v>0</v>
      </c>
      <c r="I174">
        <f>(I173+fotowoltaika[[#This Row],[czy_st_nie_wzrastal]])*fotowoltaika[[#This Row],[czy_st_nie_wzrastal]]</f>
        <v>0</v>
      </c>
      <c r="J174" s="4">
        <f>HOUR(fotowoltaika[[#This Row],[zach]]-fotowoltaika[[#This Row],[wsch]])</f>
        <v>16</v>
      </c>
      <c r="K174">
        <f>(K173+(0.8*fotowoltaika[[#This Row],[oddanie]])-(fotowoltaika[[#This Row],[pobranie]]))</f>
        <v>86.006000000000043</v>
      </c>
      <c r="L174">
        <f>IF(fotowoltaika[[#This Row],[Saldo]]&lt;50,1,0)</f>
        <v>0</v>
      </c>
      <c r="M174">
        <f>IF(fotowoltaika[[#This Row],[Saldo]]&lt;0,1,0)</f>
        <v>0</v>
      </c>
    </row>
    <row r="175" spans="1:13" x14ac:dyDescent="0.3">
      <c r="A175" s="1">
        <v>44735</v>
      </c>
      <c r="B175" s="2">
        <v>0.17556712962962964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>IF(AND(fotowoltaika[[#This Row],[st_zach]]&lt;=D174,fotowoltaika[[#This Row],[produkcja]]&gt;=E174),1,0)</f>
        <v>1</v>
      </c>
      <c r="I175">
        <f>(I174+fotowoltaika[[#This Row],[czy_st_nie_wzrastal]])*fotowoltaika[[#This Row],[czy_st_nie_wzrastal]]</f>
        <v>1</v>
      </c>
      <c r="J175" s="4">
        <f>HOUR(fotowoltaika[[#This Row],[zach]]-fotowoltaika[[#This Row],[wsch]])</f>
        <v>16</v>
      </c>
      <c r="K175">
        <f>(K174+(0.8*fotowoltaika[[#This Row],[oddanie]])-(fotowoltaika[[#This Row],[pobranie]]))</f>
        <v>87.774000000000044</v>
      </c>
      <c r="L175">
        <f>IF(fotowoltaika[[#This Row],[Saldo]]&lt;50,1,0)</f>
        <v>0</v>
      </c>
      <c r="M175">
        <f>IF(fotowoltaika[[#This Row],[Saldo]]&lt;0,1,0)</f>
        <v>0</v>
      </c>
    </row>
    <row r="176" spans="1:13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>IF(AND(fotowoltaika[[#This Row],[st_zach]]&lt;=D175,fotowoltaika[[#This Row],[produkcja]]&gt;=E175),1,0)</f>
        <v>0</v>
      </c>
      <c r="I176">
        <f>(I175+fotowoltaika[[#This Row],[czy_st_nie_wzrastal]])*fotowoltaika[[#This Row],[czy_st_nie_wzrastal]]</f>
        <v>0</v>
      </c>
      <c r="J176" s="4">
        <f>HOUR(fotowoltaika[[#This Row],[zach]]-fotowoltaika[[#This Row],[wsch]])</f>
        <v>16</v>
      </c>
      <c r="K176">
        <f>(K175+(0.8*fotowoltaika[[#This Row],[oddanie]])-(fotowoltaika[[#This Row],[pobranie]]))</f>
        <v>90.376000000000047</v>
      </c>
      <c r="L176">
        <f>IF(fotowoltaika[[#This Row],[Saldo]]&lt;50,1,0)</f>
        <v>0</v>
      </c>
      <c r="M176">
        <f>IF(fotowoltaika[[#This Row],[Saldo]]&lt;0,1,0)</f>
        <v>0</v>
      </c>
    </row>
    <row r="177" spans="1:13" x14ac:dyDescent="0.3">
      <c r="A177" s="1">
        <v>44737</v>
      </c>
      <c r="B177" s="2">
        <v>0.17608796296296297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>IF(AND(fotowoltaika[[#This Row],[st_zach]]&lt;=D176,fotowoltaika[[#This Row],[produkcja]]&gt;=E176),1,0)</f>
        <v>0</v>
      </c>
      <c r="I177">
        <f>(I176+fotowoltaika[[#This Row],[czy_st_nie_wzrastal]])*fotowoltaika[[#This Row],[czy_st_nie_wzrastal]]</f>
        <v>0</v>
      </c>
      <c r="J177" s="4">
        <f>HOUR(fotowoltaika[[#This Row],[zach]]-fotowoltaika[[#This Row],[wsch]])</f>
        <v>16</v>
      </c>
      <c r="K177">
        <f>(K176+(0.8*fotowoltaika[[#This Row],[oddanie]])-(fotowoltaika[[#This Row],[pobranie]]))</f>
        <v>89.878000000000057</v>
      </c>
      <c r="L177">
        <f>IF(fotowoltaika[[#This Row],[Saldo]]&lt;50,1,0)</f>
        <v>0</v>
      </c>
      <c r="M177">
        <f>IF(fotowoltaika[[#This Row],[Saldo]]&lt;0,1,0)</f>
        <v>0</v>
      </c>
    </row>
    <row r="178" spans="1:13" x14ac:dyDescent="0.3">
      <c r="A178" s="1">
        <v>44738</v>
      </c>
      <c r="B178" s="2">
        <v>0.17640046296296297</v>
      </c>
      <c r="C178" s="2">
        <v>0.8775694444444444</v>
      </c>
      <c r="D178">
        <v>1</v>
      </c>
      <c r="E178">
        <v>12.81</v>
      </c>
      <c r="F178">
        <v>7.18</v>
      </c>
      <c r="G178">
        <v>1.54</v>
      </c>
      <c r="H178">
        <f>IF(AND(fotowoltaika[[#This Row],[st_zach]]&lt;=D177,fotowoltaika[[#This Row],[produkcja]]&gt;=E177),1,0)</f>
        <v>1</v>
      </c>
      <c r="I178">
        <f>(I177+fotowoltaika[[#This Row],[czy_st_nie_wzrastal]])*fotowoltaika[[#This Row],[czy_st_nie_wzrastal]]</f>
        <v>1</v>
      </c>
      <c r="J178" s="4">
        <f>HOUR(fotowoltaika[[#This Row],[zach]]-fotowoltaika[[#This Row],[wsch]])</f>
        <v>16</v>
      </c>
      <c r="K178">
        <f>(K177+(0.8*fotowoltaika[[#This Row],[oddanie]])-(fotowoltaika[[#This Row],[pobranie]]))</f>
        <v>94.08200000000005</v>
      </c>
      <c r="L178">
        <f>IF(fotowoltaika[[#This Row],[Saldo]]&lt;50,1,0)</f>
        <v>0</v>
      </c>
      <c r="M178">
        <f>IF(fotowoltaika[[#This Row],[Saldo]]&lt;0,1,0)</f>
        <v>0</v>
      </c>
    </row>
    <row r="179" spans="1:13" x14ac:dyDescent="0.3">
      <c r="A179" s="1">
        <v>44739</v>
      </c>
      <c r="B179" s="2">
        <v>0.17674768518518519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>IF(AND(fotowoltaika[[#This Row],[st_zach]]&lt;=D178,fotowoltaika[[#This Row],[produkcja]]&gt;=E178),1,0)</f>
        <v>1</v>
      </c>
      <c r="I179">
        <f>(I178+fotowoltaika[[#This Row],[czy_st_nie_wzrastal]])*fotowoltaika[[#This Row],[czy_st_nie_wzrastal]]</f>
        <v>2</v>
      </c>
      <c r="J179" s="4">
        <f>HOUR(fotowoltaika[[#This Row],[zach]]-fotowoltaika[[#This Row],[wsch]])</f>
        <v>16</v>
      </c>
      <c r="K179">
        <f>(K178+(0.8*fotowoltaika[[#This Row],[oddanie]])-(fotowoltaika[[#This Row],[pobranie]]))</f>
        <v>94.246000000000052</v>
      </c>
      <c r="L179">
        <f>IF(fotowoltaika[[#This Row],[Saldo]]&lt;50,1,0)</f>
        <v>0</v>
      </c>
      <c r="M179">
        <f>IF(fotowoltaika[[#This Row],[Saldo]]&lt;0,1,0)</f>
        <v>0</v>
      </c>
    </row>
    <row r="180" spans="1:13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>IF(AND(fotowoltaika[[#This Row],[st_zach]]&lt;=D179,fotowoltaika[[#This Row],[produkcja]]&gt;=E179),1,0)</f>
        <v>1</v>
      </c>
      <c r="I180">
        <f>(I179+fotowoltaika[[#This Row],[czy_st_nie_wzrastal]])*fotowoltaika[[#This Row],[czy_st_nie_wzrastal]]</f>
        <v>3</v>
      </c>
      <c r="J180" s="4">
        <f>HOUR(fotowoltaika[[#This Row],[zach]]-fotowoltaika[[#This Row],[wsch]])</f>
        <v>16</v>
      </c>
      <c r="K180">
        <f>(K179+(0.8*fotowoltaika[[#This Row],[oddanie]])-(fotowoltaika[[#This Row],[pobranie]]))</f>
        <v>95.598000000000042</v>
      </c>
      <c r="L180">
        <f>IF(fotowoltaika[[#This Row],[Saldo]]&lt;50,1,0)</f>
        <v>0</v>
      </c>
      <c r="M180">
        <f>IF(fotowoltaika[[#This Row],[Saldo]]&lt;0,1,0)</f>
        <v>0</v>
      </c>
    </row>
    <row r="181" spans="1:13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>IF(AND(fotowoltaika[[#This Row],[st_zach]]&lt;=D180,fotowoltaika[[#This Row],[produkcja]]&gt;=E180),1,0)</f>
        <v>1</v>
      </c>
      <c r="I181">
        <f>(I180+fotowoltaika[[#This Row],[czy_st_nie_wzrastal]])*fotowoltaika[[#This Row],[czy_st_nie_wzrastal]]</f>
        <v>4</v>
      </c>
      <c r="J181" s="4">
        <f>HOUR(fotowoltaika[[#This Row],[zach]]-fotowoltaika[[#This Row],[wsch]])</f>
        <v>16</v>
      </c>
      <c r="K181">
        <f>(K180+(0.8*fotowoltaika[[#This Row],[oddanie]])-(fotowoltaika[[#This Row],[pobranie]]))</f>
        <v>100.48800000000004</v>
      </c>
      <c r="L181">
        <f>IF(fotowoltaika[[#This Row],[Saldo]]&lt;50,1,0)</f>
        <v>0</v>
      </c>
      <c r="M181">
        <f>IF(fotowoltaika[[#This Row],[Saldo]]&lt;0,1,0)</f>
        <v>0</v>
      </c>
    </row>
    <row r="182" spans="1:13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>IF(AND(fotowoltaika[[#This Row],[st_zach]]&lt;=D181,fotowoltaika[[#This Row],[produkcja]]&gt;=E181),1,0)</f>
        <v>0</v>
      </c>
      <c r="I182">
        <f>(I181+fotowoltaika[[#This Row],[czy_st_nie_wzrastal]])*fotowoltaika[[#This Row],[czy_st_nie_wzrastal]]</f>
        <v>0</v>
      </c>
      <c r="J182" s="4">
        <f>HOUR(fotowoltaika[[#This Row],[zach]]-fotowoltaika[[#This Row],[wsch]])</f>
        <v>16</v>
      </c>
      <c r="K182">
        <f>(K181+(0.8*fotowoltaika[[#This Row],[oddanie]])-(fotowoltaika[[#This Row],[pobranie]]))</f>
        <v>100.61000000000004</v>
      </c>
      <c r="L182">
        <f>IF(fotowoltaika[[#This Row],[Saldo]]&lt;50,1,0)</f>
        <v>0</v>
      </c>
      <c r="M182">
        <f>IF(fotowoltaika[[#This Row],[Saldo]]&lt;0,1,0)</f>
        <v>0</v>
      </c>
    </row>
    <row r="183" spans="1:13" x14ac:dyDescent="0.3">
      <c r="A183" s="1">
        <v>44743</v>
      </c>
      <c r="B183" s="2">
        <v>0.17847222222222223</v>
      </c>
      <c r="C183" s="2">
        <v>0.87690972222222219</v>
      </c>
      <c r="D183">
        <v>2</v>
      </c>
      <c r="E183">
        <v>2.96</v>
      </c>
      <c r="F183">
        <v>1.54</v>
      </c>
      <c r="G183">
        <v>4.5199999999999996</v>
      </c>
      <c r="H183">
        <f>IF(AND(fotowoltaika[[#This Row],[st_zach]]&lt;=D182,fotowoltaika[[#This Row],[produkcja]]&gt;=E182),1,0)</f>
        <v>0</v>
      </c>
      <c r="I183">
        <f>(I182+fotowoltaika[[#This Row],[czy_st_nie_wzrastal]])*fotowoltaika[[#This Row],[czy_st_nie_wzrastal]]</f>
        <v>0</v>
      </c>
      <c r="J183" s="4">
        <f>HOUR(fotowoltaika[[#This Row],[zach]]-fotowoltaika[[#This Row],[wsch]])</f>
        <v>16</v>
      </c>
      <c r="K183">
        <f>(K182+(0.8*fotowoltaika[[#This Row],[oddanie]])-(fotowoltaika[[#This Row],[pobranie]]))</f>
        <v>97.322000000000045</v>
      </c>
      <c r="L183">
        <f>IF(fotowoltaika[[#This Row],[Saldo]]&lt;50,1,0)</f>
        <v>0</v>
      </c>
      <c r="M183">
        <f>IF(fotowoltaika[[#This Row],[Saldo]]&lt;0,1,0)</f>
        <v>0</v>
      </c>
    </row>
    <row r="184" spans="1:13" x14ac:dyDescent="0.3">
      <c r="A184" s="1">
        <v>44744</v>
      </c>
      <c r="B184" s="2">
        <v>0.17898148148148149</v>
      </c>
      <c r="C184" s="2">
        <v>0.87665509259259256</v>
      </c>
      <c r="D184">
        <v>0</v>
      </c>
      <c r="E184">
        <v>13.76</v>
      </c>
      <c r="F184">
        <v>7.09</v>
      </c>
      <c r="G184">
        <v>4.32</v>
      </c>
      <c r="H184">
        <f>IF(AND(fotowoltaika[[#This Row],[st_zach]]&lt;=D183,fotowoltaika[[#This Row],[produkcja]]&gt;=E183),1,0)</f>
        <v>1</v>
      </c>
      <c r="I184">
        <f>(I183+fotowoltaika[[#This Row],[czy_st_nie_wzrastal]])*fotowoltaika[[#This Row],[czy_st_nie_wzrastal]]</f>
        <v>1</v>
      </c>
      <c r="J184" s="4">
        <f>HOUR(fotowoltaika[[#This Row],[zach]]-fotowoltaika[[#This Row],[wsch]])</f>
        <v>16</v>
      </c>
      <c r="K184">
        <f>(K183+(0.8*fotowoltaika[[#This Row],[oddanie]])-(fotowoltaika[[#This Row],[pobranie]]))</f>
        <v>98.674000000000035</v>
      </c>
      <c r="L184">
        <f>IF(fotowoltaika[[#This Row],[Saldo]]&lt;50,1,0)</f>
        <v>0</v>
      </c>
      <c r="M184">
        <f>IF(fotowoltaika[[#This Row],[Saldo]]&lt;0,1,0)</f>
        <v>0</v>
      </c>
    </row>
    <row r="185" spans="1:13" x14ac:dyDescent="0.3">
      <c r="A185" s="1">
        <v>44745</v>
      </c>
      <c r="B185" s="2">
        <v>0.17952546296296296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>IF(AND(fotowoltaika[[#This Row],[st_zach]]&lt;=D184,fotowoltaika[[#This Row],[produkcja]]&gt;=E184),1,0)</f>
        <v>1</v>
      </c>
      <c r="I185">
        <f>(I184+fotowoltaika[[#This Row],[czy_st_nie_wzrastal]])*fotowoltaika[[#This Row],[czy_st_nie_wzrastal]]</f>
        <v>2</v>
      </c>
      <c r="J185" s="4">
        <f>HOUR(fotowoltaika[[#This Row],[zach]]-fotowoltaika[[#This Row],[wsch]])</f>
        <v>16</v>
      </c>
      <c r="K185">
        <f>(K184+(0.8*fotowoltaika[[#This Row],[oddanie]])-(fotowoltaika[[#This Row],[pobranie]]))</f>
        <v>104.24800000000003</v>
      </c>
      <c r="L185">
        <f>IF(fotowoltaika[[#This Row],[Saldo]]&lt;50,1,0)</f>
        <v>0</v>
      </c>
      <c r="M185">
        <f>IF(fotowoltaika[[#This Row],[Saldo]]&lt;0,1,0)</f>
        <v>0</v>
      </c>
    </row>
    <row r="186" spans="1:13" x14ac:dyDescent="0.3">
      <c r="A186" s="1">
        <v>44746</v>
      </c>
      <c r="B186" s="2">
        <v>0.18010416666666668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>IF(AND(fotowoltaika[[#This Row],[st_zach]]&lt;=D185,fotowoltaika[[#This Row],[produkcja]]&gt;=E185),1,0)</f>
        <v>1</v>
      </c>
      <c r="I186">
        <f>(I185+fotowoltaika[[#This Row],[czy_st_nie_wzrastal]])*fotowoltaika[[#This Row],[czy_st_nie_wzrastal]]</f>
        <v>3</v>
      </c>
      <c r="J186" s="4">
        <f>HOUR(fotowoltaika[[#This Row],[zach]]-fotowoltaika[[#This Row],[wsch]])</f>
        <v>16</v>
      </c>
      <c r="K186">
        <f>(K185+(0.8*fotowoltaika[[#This Row],[oddanie]])-(fotowoltaika[[#This Row],[pobranie]]))</f>
        <v>111.28000000000003</v>
      </c>
      <c r="L186">
        <f>IF(fotowoltaika[[#This Row],[Saldo]]&lt;50,1,0)</f>
        <v>0</v>
      </c>
      <c r="M186">
        <f>IF(fotowoltaika[[#This Row],[Saldo]]&lt;0,1,0)</f>
        <v>0</v>
      </c>
    </row>
    <row r="187" spans="1:13" x14ac:dyDescent="0.3">
      <c r="A187" s="1">
        <v>44747</v>
      </c>
      <c r="B187" s="2">
        <v>0.18069444444444444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>IF(AND(fotowoltaika[[#This Row],[st_zach]]&lt;=D186,fotowoltaika[[#This Row],[produkcja]]&gt;=E186),1,0)</f>
        <v>0</v>
      </c>
      <c r="I187">
        <f>(I186+fotowoltaika[[#This Row],[czy_st_nie_wzrastal]])*fotowoltaika[[#This Row],[czy_st_nie_wzrastal]]</f>
        <v>0</v>
      </c>
      <c r="J187" s="4">
        <f>HOUR(fotowoltaika[[#This Row],[zach]]-fotowoltaika[[#This Row],[wsch]])</f>
        <v>16</v>
      </c>
      <c r="K187">
        <f>(K186+(0.8*fotowoltaika[[#This Row],[oddanie]])-(fotowoltaika[[#This Row],[pobranie]]))</f>
        <v>117.76200000000003</v>
      </c>
      <c r="L187">
        <f>IF(fotowoltaika[[#This Row],[Saldo]]&lt;50,1,0)</f>
        <v>0</v>
      </c>
      <c r="M187">
        <f>IF(fotowoltaika[[#This Row],[Saldo]]&lt;0,1,0)</f>
        <v>0</v>
      </c>
    </row>
    <row r="188" spans="1:13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>IF(AND(fotowoltaika[[#This Row],[st_zach]]&lt;=D187,fotowoltaika[[#This Row],[produkcja]]&gt;=E187),1,0)</f>
        <v>0</v>
      </c>
      <c r="I188">
        <f>(I187+fotowoltaika[[#This Row],[czy_st_nie_wzrastal]])*fotowoltaika[[#This Row],[czy_st_nie_wzrastal]]</f>
        <v>0</v>
      </c>
      <c r="J188" s="4">
        <f>HOUR(fotowoltaika[[#This Row],[zach]]-fotowoltaika[[#This Row],[wsch]])</f>
        <v>16</v>
      </c>
      <c r="K188">
        <f>(K187+(0.8*fotowoltaika[[#This Row],[oddanie]])-(fotowoltaika[[#This Row],[pobranie]]))</f>
        <v>122.55800000000002</v>
      </c>
      <c r="L188">
        <f>IF(fotowoltaika[[#This Row],[Saldo]]&lt;50,1,0)</f>
        <v>0</v>
      </c>
      <c r="M188">
        <f>IF(fotowoltaika[[#This Row],[Saldo]]&lt;0,1,0)</f>
        <v>0</v>
      </c>
    </row>
    <row r="189" spans="1:13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>IF(AND(fotowoltaika[[#This Row],[st_zach]]&lt;=D188,fotowoltaika[[#This Row],[produkcja]]&gt;=E188),1,0)</f>
        <v>1</v>
      </c>
      <c r="I189">
        <f>(I188+fotowoltaika[[#This Row],[czy_st_nie_wzrastal]])*fotowoltaika[[#This Row],[czy_st_nie_wzrastal]]</f>
        <v>1</v>
      </c>
      <c r="J189" s="4">
        <f>HOUR(fotowoltaika[[#This Row],[zach]]-fotowoltaika[[#This Row],[wsch]])</f>
        <v>16</v>
      </c>
      <c r="K189">
        <f>(K188+(0.8*fotowoltaika[[#This Row],[oddanie]])-(fotowoltaika[[#This Row],[pobranie]]))</f>
        <v>126.97400000000003</v>
      </c>
      <c r="L189">
        <f>IF(fotowoltaika[[#This Row],[Saldo]]&lt;50,1,0)</f>
        <v>0</v>
      </c>
      <c r="M189">
        <f>IF(fotowoltaika[[#This Row],[Saldo]]&lt;0,1,0)</f>
        <v>0</v>
      </c>
    </row>
    <row r="190" spans="1:13" x14ac:dyDescent="0.3">
      <c r="A190" s="1">
        <v>44750</v>
      </c>
      <c r="B190" s="2">
        <v>0.18267361111111111</v>
      </c>
      <c r="C190" s="2">
        <v>0.87440972222222224</v>
      </c>
      <c r="D190">
        <v>1</v>
      </c>
      <c r="E190">
        <v>11.9</v>
      </c>
      <c r="F190">
        <v>7.34</v>
      </c>
      <c r="G190">
        <v>4.8099999999999996</v>
      </c>
      <c r="H190">
        <f>IF(AND(fotowoltaika[[#This Row],[st_zach]]&lt;=D189,fotowoltaika[[#This Row],[produkcja]]&gt;=E189),1,0)</f>
        <v>0</v>
      </c>
      <c r="I190">
        <f>(I189+fotowoltaika[[#This Row],[czy_st_nie_wzrastal]])*fotowoltaika[[#This Row],[czy_st_nie_wzrastal]]</f>
        <v>0</v>
      </c>
      <c r="J190" s="4">
        <f>HOUR(fotowoltaika[[#This Row],[zach]]-fotowoltaika[[#This Row],[wsch]])</f>
        <v>16</v>
      </c>
      <c r="K190">
        <f>(K189+(0.8*fotowoltaika[[#This Row],[oddanie]])-(fotowoltaika[[#This Row],[pobranie]]))</f>
        <v>128.03600000000003</v>
      </c>
      <c r="L190">
        <f>IF(fotowoltaika[[#This Row],[Saldo]]&lt;50,1,0)</f>
        <v>0</v>
      </c>
      <c r="M190">
        <f>IF(fotowoltaika[[#This Row],[Saldo]]&lt;0,1,0)</f>
        <v>0</v>
      </c>
    </row>
    <row r="191" spans="1:13" x14ac:dyDescent="0.3">
      <c r="A191" s="1">
        <v>44751</v>
      </c>
      <c r="B191" s="2">
        <v>0.18337962962962964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>IF(AND(fotowoltaika[[#This Row],[st_zach]]&lt;=D190,fotowoltaika[[#This Row],[produkcja]]&gt;=E190),1,0)</f>
        <v>1</v>
      </c>
      <c r="I191">
        <f>(I190+fotowoltaika[[#This Row],[czy_st_nie_wzrastal]])*fotowoltaika[[#This Row],[czy_st_nie_wzrastal]]</f>
        <v>1</v>
      </c>
      <c r="J191" s="4">
        <f>HOUR(fotowoltaika[[#This Row],[zach]]-fotowoltaika[[#This Row],[wsch]])</f>
        <v>16</v>
      </c>
      <c r="K191">
        <f>(K190+(0.8*fotowoltaika[[#This Row],[oddanie]])-(fotowoltaika[[#This Row],[pobranie]]))</f>
        <v>134.03800000000004</v>
      </c>
      <c r="L191">
        <f>IF(fotowoltaika[[#This Row],[Saldo]]&lt;50,1,0)</f>
        <v>0</v>
      </c>
      <c r="M191">
        <f>IF(fotowoltaika[[#This Row],[Saldo]]&lt;0,1,0)</f>
        <v>0</v>
      </c>
    </row>
    <row r="192" spans="1:13" x14ac:dyDescent="0.3">
      <c r="A192" s="1">
        <v>44752</v>
      </c>
      <c r="B192" s="2">
        <v>0.18412037037037038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>IF(AND(fotowoltaika[[#This Row],[st_zach]]&lt;=D191,fotowoltaika[[#This Row],[produkcja]]&gt;=E191),1,0)</f>
        <v>1</v>
      </c>
      <c r="I192">
        <f>(I191+fotowoltaika[[#This Row],[czy_st_nie_wzrastal]])*fotowoltaika[[#This Row],[czy_st_nie_wzrastal]]</f>
        <v>2</v>
      </c>
      <c r="J192" s="4">
        <f>HOUR(fotowoltaika[[#This Row],[zach]]-fotowoltaika[[#This Row],[wsch]])</f>
        <v>16</v>
      </c>
      <c r="K192">
        <f>(K191+(0.8*fotowoltaika[[#This Row],[oddanie]])-(fotowoltaika[[#This Row],[pobranie]]))</f>
        <v>140.92000000000004</v>
      </c>
      <c r="L192">
        <f>IF(fotowoltaika[[#This Row],[Saldo]]&lt;50,1,0)</f>
        <v>0</v>
      </c>
      <c r="M192">
        <f>IF(fotowoltaika[[#This Row],[Saldo]]&lt;0,1,0)</f>
        <v>0</v>
      </c>
    </row>
    <row r="193" spans="1:13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>IF(AND(fotowoltaika[[#This Row],[st_zach]]&lt;=D192,fotowoltaika[[#This Row],[produkcja]]&gt;=E192),1,0)</f>
        <v>0</v>
      </c>
      <c r="I193">
        <f>(I192+fotowoltaika[[#This Row],[czy_st_nie_wzrastal]])*fotowoltaika[[#This Row],[czy_st_nie_wzrastal]]</f>
        <v>0</v>
      </c>
      <c r="J193" s="4">
        <f>HOUR(fotowoltaika[[#This Row],[zach]]-fotowoltaika[[#This Row],[wsch]])</f>
        <v>16</v>
      </c>
      <c r="K193">
        <f>(K192+(0.8*fotowoltaika[[#This Row],[oddanie]])-(fotowoltaika[[#This Row],[pobranie]]))</f>
        <v>148.95000000000005</v>
      </c>
      <c r="L193">
        <f>IF(fotowoltaika[[#This Row],[Saldo]]&lt;50,1,0)</f>
        <v>0</v>
      </c>
      <c r="M193">
        <f>IF(fotowoltaika[[#This Row],[Saldo]]&lt;0,1,0)</f>
        <v>0</v>
      </c>
    </row>
    <row r="194" spans="1:13" x14ac:dyDescent="0.3">
      <c r="A194" s="1">
        <v>44754</v>
      </c>
      <c r="B194" s="2">
        <v>0.18565972222222221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>IF(AND(fotowoltaika[[#This Row],[st_zach]]&lt;=D193,fotowoltaika[[#This Row],[produkcja]]&gt;=E193),1,0)</f>
        <v>1</v>
      </c>
      <c r="I194">
        <f>(I193+fotowoltaika[[#This Row],[czy_st_nie_wzrastal]])*fotowoltaika[[#This Row],[czy_st_nie_wzrastal]]</f>
        <v>1</v>
      </c>
      <c r="J194" s="4">
        <f>HOUR(fotowoltaika[[#This Row],[zach]]-fotowoltaika[[#This Row],[wsch]])</f>
        <v>16</v>
      </c>
      <c r="K194">
        <f>(K193+(0.8*fotowoltaika[[#This Row],[oddanie]])-(fotowoltaika[[#This Row],[pobranie]]))</f>
        <v>156.42400000000006</v>
      </c>
      <c r="L194">
        <f>IF(fotowoltaika[[#This Row],[Saldo]]&lt;50,1,0)</f>
        <v>0</v>
      </c>
      <c r="M194">
        <f>IF(fotowoltaika[[#This Row],[Saldo]]&lt;0,1,0)</f>
        <v>0</v>
      </c>
    </row>
    <row r="195" spans="1:13" x14ac:dyDescent="0.3">
      <c r="A195" s="1">
        <v>44755</v>
      </c>
      <c r="B195" s="2">
        <v>0.1864699074074074</v>
      </c>
      <c r="C195" s="2">
        <v>0.87155092592592598</v>
      </c>
      <c r="D195">
        <v>0</v>
      </c>
      <c r="E195">
        <v>17.22</v>
      </c>
      <c r="F195">
        <v>9.69</v>
      </c>
      <c r="G195">
        <v>2.84</v>
      </c>
      <c r="H195">
        <f>IF(AND(fotowoltaika[[#This Row],[st_zach]]&lt;=D194,fotowoltaika[[#This Row],[produkcja]]&gt;=E194),1,0)</f>
        <v>0</v>
      </c>
      <c r="I195">
        <f>(I194+fotowoltaika[[#This Row],[czy_st_nie_wzrastal]])*fotowoltaika[[#This Row],[czy_st_nie_wzrastal]]</f>
        <v>0</v>
      </c>
      <c r="J195" s="4">
        <f>HOUR(fotowoltaika[[#This Row],[zach]]-fotowoltaika[[#This Row],[wsch]])</f>
        <v>16</v>
      </c>
      <c r="K195">
        <f>(K194+(0.8*fotowoltaika[[#This Row],[oddanie]])-(fotowoltaika[[#This Row],[pobranie]]))</f>
        <v>161.33600000000007</v>
      </c>
      <c r="L195">
        <f>IF(fotowoltaika[[#This Row],[Saldo]]&lt;50,1,0)</f>
        <v>0</v>
      </c>
      <c r="M195">
        <f>IF(fotowoltaika[[#This Row],[Saldo]]&lt;0,1,0)</f>
        <v>0</v>
      </c>
    </row>
    <row r="196" spans="1:13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>IF(AND(fotowoltaika[[#This Row],[st_zach]]&lt;=D195,fotowoltaika[[#This Row],[produkcja]]&gt;=E195),1,0)</f>
        <v>0</v>
      </c>
      <c r="I196">
        <f>(I195+fotowoltaika[[#This Row],[czy_st_nie_wzrastal]])*fotowoltaika[[#This Row],[czy_st_nie_wzrastal]]</f>
        <v>0</v>
      </c>
      <c r="J196" s="4">
        <f>HOUR(fotowoltaika[[#This Row],[zach]]-fotowoltaika[[#This Row],[wsch]])</f>
        <v>16</v>
      </c>
      <c r="K196">
        <f>(K195+(0.8*fotowoltaika[[#This Row],[oddanie]])-(fotowoltaika[[#This Row],[pobranie]]))</f>
        <v>165.47800000000007</v>
      </c>
      <c r="L196">
        <f>IF(fotowoltaika[[#This Row],[Saldo]]&lt;50,1,0)</f>
        <v>0</v>
      </c>
      <c r="M196">
        <f>IF(fotowoltaika[[#This Row],[Saldo]]&lt;0,1,0)</f>
        <v>0</v>
      </c>
    </row>
    <row r="197" spans="1:13" x14ac:dyDescent="0.3">
      <c r="A197" s="1">
        <v>44757</v>
      </c>
      <c r="B197" s="2">
        <v>0.18813657407407408</v>
      </c>
      <c r="C197" s="2">
        <v>0.87017361111111113</v>
      </c>
      <c r="D197">
        <v>1</v>
      </c>
      <c r="E197">
        <v>15.96</v>
      </c>
      <c r="F197">
        <v>11.95</v>
      </c>
      <c r="G197">
        <v>3.05</v>
      </c>
      <c r="H197">
        <f>IF(AND(fotowoltaika[[#This Row],[st_zach]]&lt;=D196,fotowoltaika[[#This Row],[produkcja]]&gt;=E196),1,0)</f>
        <v>1</v>
      </c>
      <c r="I197">
        <f>(I196+fotowoltaika[[#This Row],[czy_st_nie_wzrastal]])*fotowoltaika[[#This Row],[czy_st_nie_wzrastal]]</f>
        <v>1</v>
      </c>
      <c r="J197" s="4">
        <f>HOUR(fotowoltaika[[#This Row],[zach]]-fotowoltaika[[#This Row],[wsch]])</f>
        <v>16</v>
      </c>
      <c r="K197">
        <f>(K196+(0.8*fotowoltaika[[#This Row],[oddanie]])-(fotowoltaika[[#This Row],[pobranie]]))</f>
        <v>171.98800000000006</v>
      </c>
      <c r="L197">
        <f>IF(fotowoltaika[[#This Row],[Saldo]]&lt;50,1,0)</f>
        <v>0</v>
      </c>
      <c r="M197">
        <f>IF(fotowoltaika[[#This Row],[Saldo]]&lt;0,1,0)</f>
        <v>0</v>
      </c>
    </row>
    <row r="198" spans="1:13" x14ac:dyDescent="0.3">
      <c r="A198" s="1">
        <v>44758</v>
      </c>
      <c r="B198" s="2">
        <v>0.1890162037037037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>IF(AND(fotowoltaika[[#This Row],[st_zach]]&lt;=D197,fotowoltaika[[#This Row],[produkcja]]&gt;=E197),1,0)</f>
        <v>0</v>
      </c>
      <c r="I198">
        <f>(I197+fotowoltaika[[#This Row],[czy_st_nie_wzrastal]])*fotowoltaika[[#This Row],[czy_st_nie_wzrastal]]</f>
        <v>0</v>
      </c>
      <c r="J198" s="4">
        <f>HOUR(fotowoltaika[[#This Row],[zach]]-fotowoltaika[[#This Row],[wsch]])</f>
        <v>16</v>
      </c>
      <c r="K198">
        <f>(K197+(0.8*fotowoltaika[[#This Row],[oddanie]])-(fotowoltaika[[#This Row],[pobranie]]))</f>
        <v>176.97200000000007</v>
      </c>
      <c r="L198">
        <f>IF(fotowoltaika[[#This Row],[Saldo]]&lt;50,1,0)</f>
        <v>0</v>
      </c>
      <c r="M198">
        <f>IF(fotowoltaika[[#This Row],[Saldo]]&lt;0,1,0)</f>
        <v>0</v>
      </c>
    </row>
    <row r="199" spans="1:13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>IF(AND(fotowoltaika[[#This Row],[st_zach]]&lt;=D198,fotowoltaika[[#This Row],[produkcja]]&gt;=E198),1,0)</f>
        <v>1</v>
      </c>
      <c r="I199">
        <f>(I198+fotowoltaika[[#This Row],[czy_st_nie_wzrastal]])*fotowoltaika[[#This Row],[czy_st_nie_wzrastal]]</f>
        <v>1</v>
      </c>
      <c r="J199" s="4">
        <f>HOUR(fotowoltaika[[#This Row],[zach]]-fotowoltaika[[#This Row],[wsch]])</f>
        <v>16</v>
      </c>
      <c r="K199">
        <f>(K198+(0.8*fotowoltaika[[#This Row],[oddanie]])-(fotowoltaika[[#This Row],[pobranie]]))</f>
        <v>184.65400000000005</v>
      </c>
      <c r="L199">
        <f>IF(fotowoltaika[[#This Row],[Saldo]]&lt;50,1,0)</f>
        <v>0</v>
      </c>
      <c r="M199">
        <f>IF(fotowoltaika[[#This Row],[Saldo]]&lt;0,1,0)</f>
        <v>0</v>
      </c>
    </row>
    <row r="200" spans="1:13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>IF(AND(fotowoltaika[[#This Row],[st_zach]]&lt;=D199,fotowoltaika[[#This Row],[produkcja]]&gt;=E199),1,0)</f>
        <v>0</v>
      </c>
      <c r="I200">
        <f>(I199+fotowoltaika[[#This Row],[czy_st_nie_wzrastal]])*fotowoltaika[[#This Row],[czy_st_nie_wzrastal]]</f>
        <v>0</v>
      </c>
      <c r="J200" s="4">
        <f>HOUR(fotowoltaika[[#This Row],[zach]]-fotowoltaika[[#This Row],[wsch]])</f>
        <v>16</v>
      </c>
      <c r="K200">
        <f>(K199+(0.8*fotowoltaika[[#This Row],[oddanie]])-(fotowoltaika[[#This Row],[pobranie]]))</f>
        <v>190.07400000000007</v>
      </c>
      <c r="L200">
        <f>IF(fotowoltaika[[#This Row],[Saldo]]&lt;50,1,0)</f>
        <v>0</v>
      </c>
      <c r="M200">
        <f>IF(fotowoltaika[[#This Row],[Saldo]]&lt;0,1,0)</f>
        <v>0</v>
      </c>
    </row>
    <row r="201" spans="1:13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>IF(AND(fotowoltaika[[#This Row],[st_zach]]&lt;=D200,fotowoltaika[[#This Row],[produkcja]]&gt;=E200),1,0)</f>
        <v>0</v>
      </c>
      <c r="I201">
        <f>(I200+fotowoltaika[[#This Row],[czy_st_nie_wzrastal]])*fotowoltaika[[#This Row],[czy_st_nie_wzrastal]]</f>
        <v>0</v>
      </c>
      <c r="J201" s="4">
        <f>HOUR(fotowoltaika[[#This Row],[zach]]-fotowoltaika[[#This Row],[wsch]])</f>
        <v>16</v>
      </c>
      <c r="K201">
        <f>(K200+(0.8*fotowoltaika[[#This Row],[oddanie]])-(fotowoltaika[[#This Row],[pobranie]]))</f>
        <v>194.80800000000008</v>
      </c>
      <c r="L201">
        <f>IF(fotowoltaika[[#This Row],[Saldo]]&lt;50,1,0)</f>
        <v>0</v>
      </c>
      <c r="M201">
        <f>IF(fotowoltaika[[#This Row],[Saldo]]&lt;0,1,0)</f>
        <v>0</v>
      </c>
    </row>
    <row r="202" spans="1:13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>IF(AND(fotowoltaika[[#This Row],[st_zach]]&lt;=D201,fotowoltaika[[#This Row],[produkcja]]&gt;=E201),1,0)</f>
        <v>0</v>
      </c>
      <c r="I202">
        <f>(I201+fotowoltaika[[#This Row],[czy_st_nie_wzrastal]])*fotowoltaika[[#This Row],[czy_st_nie_wzrastal]]</f>
        <v>0</v>
      </c>
      <c r="J202" s="4">
        <f>HOUR(fotowoltaika[[#This Row],[zach]]-fotowoltaika[[#This Row],[wsch]])</f>
        <v>16</v>
      </c>
      <c r="K202">
        <f>(K201+(0.8*fotowoltaika[[#This Row],[oddanie]])-(fotowoltaika[[#This Row],[pobranie]]))</f>
        <v>200.80400000000009</v>
      </c>
      <c r="L202">
        <f>IF(fotowoltaika[[#This Row],[Saldo]]&lt;50,1,0)</f>
        <v>0</v>
      </c>
      <c r="M202">
        <f>IF(fotowoltaika[[#This Row],[Saldo]]&lt;0,1,0)</f>
        <v>0</v>
      </c>
    </row>
    <row r="203" spans="1:13" x14ac:dyDescent="0.3">
      <c r="A203" s="1">
        <v>44763</v>
      </c>
      <c r="B203" s="2">
        <v>0.19362268518518519</v>
      </c>
      <c r="C203" s="2">
        <v>0.86531250000000004</v>
      </c>
      <c r="D203">
        <v>0</v>
      </c>
      <c r="E203">
        <v>18.3</v>
      </c>
      <c r="F203">
        <v>10.96</v>
      </c>
      <c r="G203">
        <v>2.14</v>
      </c>
      <c r="H203">
        <f>IF(AND(fotowoltaika[[#This Row],[st_zach]]&lt;=D202,fotowoltaika[[#This Row],[produkcja]]&gt;=E202),1,0)</f>
        <v>1</v>
      </c>
      <c r="I203">
        <f>(I202+fotowoltaika[[#This Row],[czy_st_nie_wzrastal]])*fotowoltaika[[#This Row],[czy_st_nie_wzrastal]]</f>
        <v>1</v>
      </c>
      <c r="J203" s="4">
        <f>HOUR(fotowoltaika[[#This Row],[zach]]-fotowoltaika[[#This Row],[wsch]])</f>
        <v>16</v>
      </c>
      <c r="K203">
        <f>(K202+(0.8*fotowoltaika[[#This Row],[oddanie]])-(fotowoltaika[[#This Row],[pobranie]]))</f>
        <v>207.4320000000001</v>
      </c>
      <c r="L203">
        <f>IF(fotowoltaika[[#This Row],[Saldo]]&lt;50,1,0)</f>
        <v>0</v>
      </c>
      <c r="M203">
        <f>IF(fotowoltaika[[#This Row],[Saldo]]&lt;0,1,0)</f>
        <v>0</v>
      </c>
    </row>
    <row r="204" spans="1:13" x14ac:dyDescent="0.3">
      <c r="A204" s="1">
        <v>44764</v>
      </c>
      <c r="B204" s="2">
        <v>0.1945949074074074</v>
      </c>
      <c r="C204" s="2">
        <v>0.86439814814814819</v>
      </c>
      <c r="D204">
        <v>0</v>
      </c>
      <c r="E204">
        <v>17.04</v>
      </c>
      <c r="F204">
        <v>9.85</v>
      </c>
      <c r="G204">
        <v>2.2599999999999998</v>
      </c>
      <c r="H204">
        <f>IF(AND(fotowoltaika[[#This Row],[st_zach]]&lt;=D203,fotowoltaika[[#This Row],[produkcja]]&gt;=E203),1,0)</f>
        <v>0</v>
      </c>
      <c r="I204">
        <f>(I203+fotowoltaika[[#This Row],[czy_st_nie_wzrastal]])*fotowoltaika[[#This Row],[czy_st_nie_wzrastal]]</f>
        <v>0</v>
      </c>
      <c r="J204" s="4">
        <f>HOUR(fotowoltaika[[#This Row],[zach]]-fotowoltaika[[#This Row],[wsch]])</f>
        <v>16</v>
      </c>
      <c r="K204">
        <f>(K203+(0.8*fotowoltaika[[#This Row],[oddanie]])-(fotowoltaika[[#This Row],[pobranie]]))</f>
        <v>213.05200000000011</v>
      </c>
      <c r="L204">
        <f>IF(fotowoltaika[[#This Row],[Saldo]]&lt;50,1,0)</f>
        <v>0</v>
      </c>
      <c r="M204">
        <f>IF(fotowoltaika[[#This Row],[Saldo]]&lt;0,1,0)</f>
        <v>0</v>
      </c>
    </row>
    <row r="205" spans="1:13" x14ac:dyDescent="0.3">
      <c r="A205" s="1">
        <v>44765</v>
      </c>
      <c r="B205" s="2">
        <v>0.1955787037037037</v>
      </c>
      <c r="C205" s="2">
        <v>0.86346064814814816</v>
      </c>
      <c r="D205">
        <v>0</v>
      </c>
      <c r="E205">
        <v>18.850000000000001</v>
      </c>
      <c r="F205">
        <v>11.75</v>
      </c>
      <c r="G205">
        <v>2.94</v>
      </c>
      <c r="H205">
        <f>IF(AND(fotowoltaika[[#This Row],[st_zach]]&lt;=D204,fotowoltaika[[#This Row],[produkcja]]&gt;=E204),1,0)</f>
        <v>1</v>
      </c>
      <c r="I205">
        <f>(I204+fotowoltaika[[#This Row],[czy_st_nie_wzrastal]])*fotowoltaika[[#This Row],[czy_st_nie_wzrastal]]</f>
        <v>1</v>
      </c>
      <c r="J205" s="4">
        <f>HOUR(fotowoltaika[[#This Row],[zach]]-fotowoltaika[[#This Row],[wsch]])</f>
        <v>16</v>
      </c>
      <c r="K205">
        <f>(K204+(0.8*fotowoltaika[[#This Row],[oddanie]])-(fotowoltaika[[#This Row],[pobranie]]))</f>
        <v>219.51200000000011</v>
      </c>
      <c r="L205">
        <f>IF(fotowoltaika[[#This Row],[Saldo]]&lt;50,1,0)</f>
        <v>0</v>
      </c>
      <c r="M205">
        <f>IF(fotowoltaika[[#This Row],[Saldo]]&lt;0,1,0)</f>
        <v>0</v>
      </c>
    </row>
    <row r="206" spans="1:13" x14ac:dyDescent="0.3">
      <c r="A206" s="1">
        <v>44766</v>
      </c>
      <c r="B206" s="2">
        <v>0.19658564814814813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>IF(AND(fotowoltaika[[#This Row],[st_zach]]&lt;=D205,fotowoltaika[[#This Row],[produkcja]]&gt;=E205),1,0)</f>
        <v>0</v>
      </c>
      <c r="I206">
        <f>(I205+fotowoltaika[[#This Row],[czy_st_nie_wzrastal]])*fotowoltaika[[#This Row],[czy_st_nie_wzrastal]]</f>
        <v>0</v>
      </c>
      <c r="J206" s="4">
        <f>HOUR(fotowoltaika[[#This Row],[zach]]-fotowoltaika[[#This Row],[wsch]])</f>
        <v>15</v>
      </c>
      <c r="K206">
        <f>(K205+(0.8*fotowoltaika[[#This Row],[oddanie]])-(fotowoltaika[[#This Row],[pobranie]]))</f>
        <v>224.6160000000001</v>
      </c>
      <c r="L206">
        <f>IF(fotowoltaika[[#This Row],[Saldo]]&lt;50,1,0)</f>
        <v>0</v>
      </c>
      <c r="M206">
        <f>IF(fotowoltaika[[#This Row],[Saldo]]&lt;0,1,0)</f>
        <v>0</v>
      </c>
    </row>
    <row r="207" spans="1:13" x14ac:dyDescent="0.3">
      <c r="A207" s="1">
        <v>44767</v>
      </c>
      <c r="B207" s="2">
        <v>0.1975925925925926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>IF(AND(fotowoltaika[[#This Row],[st_zach]]&lt;=D206,fotowoltaika[[#This Row],[produkcja]]&gt;=E206),1,0)</f>
        <v>0</v>
      </c>
      <c r="I207">
        <f>(I206+fotowoltaika[[#This Row],[czy_st_nie_wzrastal]])*fotowoltaika[[#This Row],[czy_st_nie_wzrastal]]</f>
        <v>0</v>
      </c>
      <c r="J207" s="4">
        <f>HOUR(fotowoltaika[[#This Row],[zach]]-fotowoltaika[[#This Row],[wsch]])</f>
        <v>15</v>
      </c>
      <c r="K207">
        <f>(K206+(0.8*fotowoltaika[[#This Row],[oddanie]])-(fotowoltaika[[#This Row],[pobranie]]))</f>
        <v>228.15600000000009</v>
      </c>
      <c r="L207">
        <f>IF(fotowoltaika[[#This Row],[Saldo]]&lt;50,1,0)</f>
        <v>0</v>
      </c>
      <c r="M207">
        <f>IF(fotowoltaika[[#This Row],[Saldo]]&lt;0,1,0)</f>
        <v>0</v>
      </c>
    </row>
    <row r="208" spans="1:13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>IF(AND(fotowoltaika[[#This Row],[st_zach]]&lt;=D207,fotowoltaika[[#This Row],[produkcja]]&gt;=E207),1,0)</f>
        <v>1</v>
      </c>
      <c r="I208">
        <f>(I207+fotowoltaika[[#This Row],[czy_st_nie_wzrastal]])*fotowoltaika[[#This Row],[czy_st_nie_wzrastal]]</f>
        <v>1</v>
      </c>
      <c r="J208" s="4">
        <f>HOUR(fotowoltaika[[#This Row],[zach]]-fotowoltaika[[#This Row],[wsch]])</f>
        <v>15</v>
      </c>
      <c r="K208">
        <f>(K207+(0.8*fotowoltaika[[#This Row],[oddanie]])-(fotowoltaika[[#This Row],[pobranie]]))</f>
        <v>233.22600000000008</v>
      </c>
      <c r="L208">
        <f>IF(fotowoltaika[[#This Row],[Saldo]]&lt;50,1,0)</f>
        <v>0</v>
      </c>
      <c r="M208">
        <f>IF(fotowoltaika[[#This Row],[Saldo]]&lt;0,1,0)</f>
        <v>0</v>
      </c>
    </row>
    <row r="209" spans="1:13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>IF(AND(fotowoltaika[[#This Row],[st_zach]]&lt;=D208,fotowoltaika[[#This Row],[produkcja]]&gt;=E208),1,0)</f>
        <v>1</v>
      </c>
      <c r="I209">
        <f>(I208+fotowoltaika[[#This Row],[czy_st_nie_wzrastal]])*fotowoltaika[[#This Row],[czy_st_nie_wzrastal]]</f>
        <v>2</v>
      </c>
      <c r="J209" s="4">
        <f>HOUR(fotowoltaika[[#This Row],[zach]]-fotowoltaika[[#This Row],[wsch]])</f>
        <v>15</v>
      </c>
      <c r="K209">
        <f>(K208+(0.8*fotowoltaika[[#This Row],[oddanie]])-(fotowoltaika[[#This Row],[pobranie]]))</f>
        <v>238.3180000000001</v>
      </c>
      <c r="L209">
        <f>IF(fotowoltaika[[#This Row],[Saldo]]&lt;50,1,0)</f>
        <v>0</v>
      </c>
      <c r="M209">
        <f>IF(fotowoltaika[[#This Row],[Saldo]]&lt;0,1,0)</f>
        <v>0</v>
      </c>
    </row>
    <row r="210" spans="1:13" x14ac:dyDescent="0.3">
      <c r="A210" s="1">
        <v>44770</v>
      </c>
      <c r="B210" s="2">
        <v>0.20069444444444445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>IF(AND(fotowoltaika[[#This Row],[st_zach]]&lt;=D209,fotowoltaika[[#This Row],[produkcja]]&gt;=E209),1,0)</f>
        <v>1</v>
      </c>
      <c r="I210">
        <f>(I209+fotowoltaika[[#This Row],[czy_st_nie_wzrastal]])*fotowoltaika[[#This Row],[czy_st_nie_wzrastal]]</f>
        <v>3</v>
      </c>
      <c r="J210" s="4">
        <f>HOUR(fotowoltaika[[#This Row],[zach]]-fotowoltaika[[#This Row],[wsch]])</f>
        <v>15</v>
      </c>
      <c r="K210">
        <f>(K209+(0.8*fotowoltaika[[#This Row],[oddanie]])-(fotowoltaika[[#This Row],[pobranie]]))</f>
        <v>244.44000000000008</v>
      </c>
      <c r="L210">
        <f>IF(fotowoltaika[[#This Row],[Saldo]]&lt;50,1,0)</f>
        <v>0</v>
      </c>
      <c r="M210">
        <f>IF(fotowoltaika[[#This Row],[Saldo]]&lt;0,1,0)</f>
        <v>0</v>
      </c>
    </row>
    <row r="211" spans="1:13" x14ac:dyDescent="0.3">
      <c r="A211" s="1">
        <v>44771</v>
      </c>
      <c r="B211" s="2">
        <v>0.20175925925925925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>IF(AND(fotowoltaika[[#This Row],[st_zach]]&lt;=D210,fotowoltaika[[#This Row],[produkcja]]&gt;=E210),1,0)</f>
        <v>0</v>
      </c>
      <c r="I211">
        <f>(I210+fotowoltaika[[#This Row],[czy_st_nie_wzrastal]])*fotowoltaika[[#This Row],[czy_st_nie_wzrastal]]</f>
        <v>0</v>
      </c>
      <c r="J211" s="4">
        <f>HOUR(fotowoltaika[[#This Row],[zach]]-fotowoltaika[[#This Row],[wsch]])</f>
        <v>15</v>
      </c>
      <c r="K211">
        <f>(K210+(0.8*fotowoltaika[[#This Row],[oddanie]])-(fotowoltaika[[#This Row],[pobranie]]))</f>
        <v>250.93200000000007</v>
      </c>
      <c r="L211">
        <f>IF(fotowoltaika[[#This Row],[Saldo]]&lt;50,1,0)</f>
        <v>0</v>
      </c>
      <c r="M211">
        <f>IF(fotowoltaika[[#This Row],[Saldo]]&lt;0,1,0)</f>
        <v>0</v>
      </c>
    </row>
    <row r="212" spans="1:13" x14ac:dyDescent="0.3">
      <c r="A212" s="1">
        <v>44772</v>
      </c>
      <c r="B212" s="2">
        <v>0.20282407407407407</v>
      </c>
      <c r="C212" s="2">
        <v>0.85614583333333338</v>
      </c>
      <c r="D212">
        <v>1</v>
      </c>
      <c r="E212">
        <v>14.2</v>
      </c>
      <c r="F212">
        <v>10.59</v>
      </c>
      <c r="G212">
        <v>4.04</v>
      </c>
      <c r="H212">
        <f>IF(AND(fotowoltaika[[#This Row],[st_zach]]&lt;=D211,fotowoltaika[[#This Row],[produkcja]]&gt;=E211),1,0)</f>
        <v>0</v>
      </c>
      <c r="I212">
        <f>(I211+fotowoltaika[[#This Row],[czy_st_nie_wzrastal]])*fotowoltaika[[#This Row],[czy_st_nie_wzrastal]]</f>
        <v>0</v>
      </c>
      <c r="J212" s="4">
        <f>HOUR(fotowoltaika[[#This Row],[zach]]-fotowoltaika[[#This Row],[wsch]])</f>
        <v>15</v>
      </c>
      <c r="K212">
        <f>(K211+(0.8*fotowoltaika[[#This Row],[oddanie]])-(fotowoltaika[[#This Row],[pobranie]]))</f>
        <v>255.36400000000006</v>
      </c>
      <c r="L212">
        <f>IF(fotowoltaika[[#This Row],[Saldo]]&lt;50,1,0)</f>
        <v>0</v>
      </c>
      <c r="M212">
        <f>IF(fotowoltaika[[#This Row],[Saldo]]&lt;0,1,0)</f>
        <v>0</v>
      </c>
    </row>
    <row r="213" spans="1:13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>IF(AND(fotowoltaika[[#This Row],[st_zach]]&lt;=D212,fotowoltaika[[#This Row],[produkcja]]&gt;=E212),1,0)</f>
        <v>0</v>
      </c>
      <c r="I213">
        <f>(I212+fotowoltaika[[#This Row],[czy_st_nie_wzrastal]])*fotowoltaika[[#This Row],[czy_st_nie_wzrastal]]</f>
        <v>0</v>
      </c>
      <c r="J213" s="4">
        <f>HOUR(fotowoltaika[[#This Row],[zach]]-fotowoltaika[[#This Row],[wsch]])</f>
        <v>15</v>
      </c>
      <c r="K213">
        <f>(K212+(0.8*fotowoltaika[[#This Row],[oddanie]])-(fotowoltaika[[#This Row],[pobranie]]))</f>
        <v>259.77600000000007</v>
      </c>
      <c r="L213">
        <f>IF(fotowoltaika[[#This Row],[Saldo]]&lt;50,1,0)</f>
        <v>0</v>
      </c>
      <c r="M213">
        <f>IF(fotowoltaika[[#This Row],[Saldo]]&lt;0,1,0)</f>
        <v>0</v>
      </c>
    </row>
    <row r="214" spans="1:13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>IF(AND(fotowoltaika[[#This Row],[st_zach]]&lt;=D213,fotowoltaika[[#This Row],[produkcja]]&gt;=E213),1,0)</f>
        <v>1</v>
      </c>
      <c r="I214">
        <f>(I213+fotowoltaika[[#This Row],[czy_st_nie_wzrastal]])*fotowoltaika[[#This Row],[czy_st_nie_wzrastal]]</f>
        <v>1</v>
      </c>
      <c r="J214" s="4">
        <f>HOUR(fotowoltaika[[#This Row],[zach]]-fotowoltaika[[#This Row],[wsch]])</f>
        <v>15</v>
      </c>
      <c r="K214">
        <f>(K213+(0.8*fotowoltaika[[#This Row],[oddanie]])-(fotowoltaika[[#This Row],[pobranie]]))</f>
        <v>265.5800000000001</v>
      </c>
      <c r="L214">
        <f>IF(fotowoltaika[[#This Row],[Saldo]]&lt;50,1,0)</f>
        <v>0</v>
      </c>
      <c r="M214">
        <f>IF(fotowoltaika[[#This Row],[Saldo]]&lt;0,1,0)</f>
        <v>0</v>
      </c>
    </row>
    <row r="215" spans="1:13" x14ac:dyDescent="0.3">
      <c r="A215" s="1">
        <v>44775</v>
      </c>
      <c r="B215" s="2">
        <v>0.20606481481481481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>IF(AND(fotowoltaika[[#This Row],[st_zach]]&lt;=D214,fotowoltaika[[#This Row],[produkcja]]&gt;=E214),1,0)</f>
        <v>1</v>
      </c>
      <c r="I215">
        <f>(I214+fotowoltaika[[#This Row],[czy_st_nie_wzrastal]])*fotowoltaika[[#This Row],[czy_st_nie_wzrastal]]</f>
        <v>2</v>
      </c>
      <c r="J215" s="4">
        <f>HOUR(fotowoltaika[[#This Row],[zach]]-fotowoltaika[[#This Row],[wsch]])</f>
        <v>15</v>
      </c>
      <c r="K215">
        <f>(K214+(0.8*fotowoltaika[[#This Row],[oddanie]])-(fotowoltaika[[#This Row],[pobranie]]))</f>
        <v>270.69800000000009</v>
      </c>
      <c r="L215">
        <f>IF(fotowoltaika[[#This Row],[Saldo]]&lt;50,1,0)</f>
        <v>0</v>
      </c>
      <c r="M215">
        <f>IF(fotowoltaika[[#This Row],[Saldo]]&lt;0,1,0)</f>
        <v>0</v>
      </c>
    </row>
    <row r="216" spans="1:13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>IF(AND(fotowoltaika[[#This Row],[st_zach]]&lt;=D215,fotowoltaika[[#This Row],[produkcja]]&gt;=E215),1,0)</f>
        <v>0</v>
      </c>
      <c r="I216">
        <f>(I215+fotowoltaika[[#This Row],[czy_st_nie_wzrastal]])*fotowoltaika[[#This Row],[czy_st_nie_wzrastal]]</f>
        <v>0</v>
      </c>
      <c r="J216" s="4">
        <f>HOUR(fotowoltaika[[#This Row],[zach]]-fotowoltaika[[#This Row],[wsch]])</f>
        <v>15</v>
      </c>
      <c r="K216">
        <f>(K215+(0.8*fotowoltaika[[#This Row],[oddanie]])-(fotowoltaika[[#This Row],[pobranie]]))</f>
        <v>275.14800000000008</v>
      </c>
      <c r="L216">
        <f>IF(fotowoltaika[[#This Row],[Saldo]]&lt;50,1,0)</f>
        <v>0</v>
      </c>
      <c r="M216">
        <f>IF(fotowoltaika[[#This Row],[Saldo]]&lt;0,1,0)</f>
        <v>0</v>
      </c>
    </row>
    <row r="217" spans="1:13" x14ac:dyDescent="0.3">
      <c r="A217" s="1">
        <v>44777</v>
      </c>
      <c r="B217" s="2">
        <v>0.20826388888888889</v>
      </c>
      <c r="C217" s="2">
        <v>0.85023148148148153</v>
      </c>
      <c r="D217">
        <v>0</v>
      </c>
      <c r="E217">
        <v>19.88</v>
      </c>
      <c r="F217">
        <v>10.14</v>
      </c>
      <c r="G217">
        <v>1.94</v>
      </c>
      <c r="H217">
        <f>IF(AND(fotowoltaika[[#This Row],[st_zach]]&lt;=D216,fotowoltaika[[#This Row],[produkcja]]&gt;=E216),1,0)</f>
        <v>1</v>
      </c>
      <c r="I217">
        <f>(I216+fotowoltaika[[#This Row],[czy_st_nie_wzrastal]])*fotowoltaika[[#This Row],[czy_st_nie_wzrastal]]</f>
        <v>1</v>
      </c>
      <c r="J217" s="4">
        <f>HOUR(fotowoltaika[[#This Row],[zach]]-fotowoltaika[[#This Row],[wsch]])</f>
        <v>15</v>
      </c>
      <c r="K217">
        <f>(K216+(0.8*fotowoltaika[[#This Row],[oddanie]])-(fotowoltaika[[#This Row],[pobranie]]))</f>
        <v>281.32000000000011</v>
      </c>
      <c r="L217">
        <f>IF(fotowoltaika[[#This Row],[Saldo]]&lt;50,1,0)</f>
        <v>0</v>
      </c>
      <c r="M217">
        <f>IF(fotowoltaika[[#This Row],[Saldo]]&lt;0,1,0)</f>
        <v>0</v>
      </c>
    </row>
    <row r="218" spans="1:13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>IF(AND(fotowoltaika[[#This Row],[st_zach]]&lt;=D217,fotowoltaika[[#This Row],[produkcja]]&gt;=E217),1,0)</f>
        <v>0</v>
      </c>
      <c r="I218">
        <f>(I217+fotowoltaika[[#This Row],[czy_st_nie_wzrastal]])*fotowoltaika[[#This Row],[czy_st_nie_wzrastal]]</f>
        <v>0</v>
      </c>
      <c r="J218" s="4">
        <f>HOUR(fotowoltaika[[#This Row],[zach]]-fotowoltaika[[#This Row],[wsch]])</f>
        <v>15</v>
      </c>
      <c r="K218">
        <f>(K217+(0.8*fotowoltaika[[#This Row],[oddanie]])-(fotowoltaika[[#This Row],[pobranie]]))</f>
        <v>284.89400000000012</v>
      </c>
      <c r="L218">
        <f>IF(fotowoltaika[[#This Row],[Saldo]]&lt;50,1,0)</f>
        <v>0</v>
      </c>
      <c r="M218">
        <f>IF(fotowoltaika[[#This Row],[Saldo]]&lt;0,1,0)</f>
        <v>0</v>
      </c>
    </row>
    <row r="219" spans="1:13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>IF(AND(fotowoltaika[[#This Row],[st_zach]]&lt;=D218,fotowoltaika[[#This Row],[produkcja]]&gt;=E218),1,0)</f>
        <v>0</v>
      </c>
      <c r="I219">
        <f>(I218+fotowoltaika[[#This Row],[czy_st_nie_wzrastal]])*fotowoltaika[[#This Row],[czy_st_nie_wzrastal]]</f>
        <v>0</v>
      </c>
      <c r="J219" s="4">
        <f>HOUR(fotowoltaika[[#This Row],[zach]]-fotowoltaika[[#This Row],[wsch]])</f>
        <v>15</v>
      </c>
      <c r="K219">
        <f>(K218+(0.8*fotowoltaika[[#This Row],[oddanie]])-(fotowoltaika[[#This Row],[pobranie]]))</f>
        <v>287.55200000000013</v>
      </c>
      <c r="L219">
        <f>IF(fotowoltaika[[#This Row],[Saldo]]&lt;50,1,0)</f>
        <v>0</v>
      </c>
      <c r="M219">
        <f>IF(fotowoltaika[[#This Row],[Saldo]]&lt;0,1,0)</f>
        <v>0</v>
      </c>
    </row>
    <row r="220" spans="1:13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>IF(AND(fotowoltaika[[#This Row],[st_zach]]&lt;=D219,fotowoltaika[[#This Row],[produkcja]]&gt;=E219),1,0)</f>
        <v>1</v>
      </c>
      <c r="I220">
        <f>(I219+fotowoltaika[[#This Row],[czy_st_nie_wzrastal]])*fotowoltaika[[#This Row],[czy_st_nie_wzrastal]]</f>
        <v>1</v>
      </c>
      <c r="J220" s="4">
        <f>HOUR(fotowoltaika[[#This Row],[zach]]-fotowoltaika[[#This Row],[wsch]])</f>
        <v>15</v>
      </c>
      <c r="K220">
        <f>(K219+(0.8*fotowoltaika[[#This Row],[oddanie]])-(fotowoltaika[[#This Row],[pobranie]]))</f>
        <v>292.79000000000013</v>
      </c>
      <c r="L220">
        <f>IF(fotowoltaika[[#This Row],[Saldo]]&lt;50,1,0)</f>
        <v>0</v>
      </c>
      <c r="M220">
        <f>IF(fotowoltaika[[#This Row],[Saldo]]&lt;0,1,0)</f>
        <v>0</v>
      </c>
    </row>
    <row r="221" spans="1:13" x14ac:dyDescent="0.3">
      <c r="A221" s="1">
        <v>44781</v>
      </c>
      <c r="B221" s="2">
        <v>0.2127199074074074</v>
      </c>
      <c r="C221" s="2">
        <v>0.84513888888888888</v>
      </c>
      <c r="D221">
        <v>0</v>
      </c>
      <c r="E221">
        <v>15.21</v>
      </c>
      <c r="F221">
        <v>6.71</v>
      </c>
      <c r="G221">
        <v>3.21</v>
      </c>
      <c r="H221">
        <f>IF(AND(fotowoltaika[[#This Row],[st_zach]]&lt;=D220,fotowoltaika[[#This Row],[produkcja]]&gt;=E220),1,0)</f>
        <v>0</v>
      </c>
      <c r="I221">
        <f>(I220+fotowoltaika[[#This Row],[czy_st_nie_wzrastal]])*fotowoltaika[[#This Row],[czy_st_nie_wzrastal]]</f>
        <v>0</v>
      </c>
      <c r="J221" s="4">
        <f>HOUR(fotowoltaika[[#This Row],[zach]]-fotowoltaika[[#This Row],[wsch]])</f>
        <v>15</v>
      </c>
      <c r="K221">
        <f>(K220+(0.8*fotowoltaika[[#This Row],[oddanie]])-(fotowoltaika[[#This Row],[pobranie]]))</f>
        <v>294.94800000000015</v>
      </c>
      <c r="L221">
        <f>IF(fotowoltaika[[#This Row],[Saldo]]&lt;50,1,0)</f>
        <v>0</v>
      </c>
      <c r="M221">
        <f>IF(fotowoltaika[[#This Row],[Saldo]]&lt;0,1,0)</f>
        <v>0</v>
      </c>
    </row>
    <row r="222" spans="1:13" x14ac:dyDescent="0.3">
      <c r="A222" s="1">
        <v>44782</v>
      </c>
      <c r="B222" s="2">
        <v>0.21384259259259258</v>
      </c>
      <c r="C222" s="2">
        <v>0.84381944444444446</v>
      </c>
      <c r="D222">
        <v>0</v>
      </c>
      <c r="E222">
        <v>19.329999999999998</v>
      </c>
      <c r="F222">
        <v>10.19</v>
      </c>
      <c r="G222">
        <v>1.54</v>
      </c>
      <c r="H222">
        <f>IF(AND(fotowoltaika[[#This Row],[st_zach]]&lt;=D221,fotowoltaika[[#This Row],[produkcja]]&gt;=E221),1,0)</f>
        <v>1</v>
      </c>
      <c r="I222">
        <f>(I221+fotowoltaika[[#This Row],[czy_st_nie_wzrastal]])*fotowoltaika[[#This Row],[czy_st_nie_wzrastal]]</f>
        <v>1</v>
      </c>
      <c r="J222" s="4">
        <f>HOUR(fotowoltaika[[#This Row],[zach]]-fotowoltaika[[#This Row],[wsch]])</f>
        <v>15</v>
      </c>
      <c r="K222">
        <f>(K221+(0.8*fotowoltaika[[#This Row],[oddanie]])-(fotowoltaika[[#This Row],[pobranie]]))</f>
        <v>301.56000000000012</v>
      </c>
      <c r="L222">
        <f>IF(fotowoltaika[[#This Row],[Saldo]]&lt;50,1,0)</f>
        <v>0</v>
      </c>
      <c r="M222">
        <f>IF(fotowoltaika[[#This Row],[Saldo]]&lt;0,1,0)</f>
        <v>0</v>
      </c>
    </row>
    <row r="223" spans="1:13" x14ac:dyDescent="0.3">
      <c r="A223" s="1">
        <v>44783</v>
      </c>
      <c r="B223" s="2">
        <v>0.21497685185185186</v>
      </c>
      <c r="C223" s="2">
        <v>0.84248842592592588</v>
      </c>
      <c r="D223">
        <v>0</v>
      </c>
      <c r="E223">
        <v>19.829999999999998</v>
      </c>
      <c r="F223">
        <v>12.94</v>
      </c>
      <c r="G223">
        <v>3.94</v>
      </c>
      <c r="H223">
        <f>IF(AND(fotowoltaika[[#This Row],[st_zach]]&lt;=D222,fotowoltaika[[#This Row],[produkcja]]&gt;=E222),1,0)</f>
        <v>1</v>
      </c>
      <c r="I223">
        <f>(I222+fotowoltaika[[#This Row],[czy_st_nie_wzrastal]])*fotowoltaika[[#This Row],[czy_st_nie_wzrastal]]</f>
        <v>2</v>
      </c>
      <c r="J223" s="4">
        <f>HOUR(fotowoltaika[[#This Row],[zach]]-fotowoltaika[[#This Row],[wsch]])</f>
        <v>15</v>
      </c>
      <c r="K223">
        <f>(K222+(0.8*fotowoltaika[[#This Row],[oddanie]])-(fotowoltaika[[#This Row],[pobranie]]))</f>
        <v>307.97200000000009</v>
      </c>
      <c r="L223">
        <f>IF(fotowoltaika[[#This Row],[Saldo]]&lt;50,1,0)</f>
        <v>0</v>
      </c>
      <c r="M223">
        <f>IF(fotowoltaika[[#This Row],[Saldo]]&lt;0,1,0)</f>
        <v>0</v>
      </c>
    </row>
    <row r="224" spans="1:13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>IF(AND(fotowoltaika[[#This Row],[st_zach]]&lt;=D223,fotowoltaika[[#This Row],[produkcja]]&gt;=E223),1,0)</f>
        <v>0</v>
      </c>
      <c r="I224">
        <f>(I223+fotowoltaika[[#This Row],[czy_st_nie_wzrastal]])*fotowoltaika[[#This Row],[czy_st_nie_wzrastal]]</f>
        <v>0</v>
      </c>
      <c r="J224" s="4">
        <f>HOUR(fotowoltaika[[#This Row],[zach]]-fotowoltaika[[#This Row],[wsch]])</f>
        <v>15</v>
      </c>
      <c r="K224">
        <f>(K223+(0.8*fotowoltaika[[#This Row],[oddanie]])-(fotowoltaika[[#This Row],[pobranie]]))</f>
        <v>310.9620000000001</v>
      </c>
      <c r="L224">
        <f>IF(fotowoltaika[[#This Row],[Saldo]]&lt;50,1,0)</f>
        <v>0</v>
      </c>
      <c r="M224">
        <f>IF(fotowoltaika[[#This Row],[Saldo]]&lt;0,1,0)</f>
        <v>0</v>
      </c>
    </row>
    <row r="225" spans="1:13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>IF(AND(fotowoltaika[[#This Row],[st_zach]]&lt;=D224,fotowoltaika[[#This Row],[produkcja]]&gt;=E224),1,0)</f>
        <v>0</v>
      </c>
      <c r="I225">
        <f>(I224+fotowoltaika[[#This Row],[czy_st_nie_wzrastal]])*fotowoltaika[[#This Row],[czy_st_nie_wzrastal]]</f>
        <v>0</v>
      </c>
      <c r="J225" s="4">
        <f>HOUR(fotowoltaika[[#This Row],[zach]]-fotowoltaika[[#This Row],[wsch]])</f>
        <v>14</v>
      </c>
      <c r="K225">
        <f>(K224+(0.8*fotowoltaika[[#This Row],[oddanie]])-(fotowoltaika[[#This Row],[pobranie]]))</f>
        <v>312.3540000000001</v>
      </c>
      <c r="L225">
        <f>IF(fotowoltaika[[#This Row],[Saldo]]&lt;50,1,0)</f>
        <v>0</v>
      </c>
      <c r="M225">
        <f>IF(fotowoltaika[[#This Row],[Saldo]]&lt;0,1,0)</f>
        <v>0</v>
      </c>
    </row>
    <row r="226" spans="1:13" x14ac:dyDescent="0.3">
      <c r="A226" s="1">
        <v>44786</v>
      </c>
      <c r="B226" s="2">
        <v>0.21837962962962962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>IF(AND(fotowoltaika[[#This Row],[st_zach]]&lt;=D225,fotowoltaika[[#This Row],[produkcja]]&gt;=E225),1,0)</f>
        <v>1</v>
      </c>
      <c r="I226">
        <f>(I225+fotowoltaika[[#This Row],[czy_st_nie_wzrastal]])*fotowoltaika[[#This Row],[czy_st_nie_wzrastal]]</f>
        <v>1</v>
      </c>
      <c r="J226" s="4">
        <f>HOUR(fotowoltaika[[#This Row],[zach]]-fotowoltaika[[#This Row],[wsch]])</f>
        <v>14</v>
      </c>
      <c r="K226">
        <f>(K225+(0.8*fotowoltaika[[#This Row],[oddanie]])-(fotowoltaika[[#This Row],[pobranie]]))</f>
        <v>317.64800000000008</v>
      </c>
      <c r="L226">
        <f>IF(fotowoltaika[[#This Row],[Saldo]]&lt;50,1,0)</f>
        <v>0</v>
      </c>
      <c r="M226">
        <f>IF(fotowoltaika[[#This Row],[Saldo]]&lt;0,1,0)</f>
        <v>0</v>
      </c>
    </row>
    <row r="227" spans="1:13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>IF(AND(fotowoltaika[[#This Row],[st_zach]]&lt;=D226,fotowoltaika[[#This Row],[produkcja]]&gt;=E226),1,0)</f>
        <v>0</v>
      </c>
      <c r="I227">
        <f>(I226+fotowoltaika[[#This Row],[czy_st_nie_wzrastal]])*fotowoltaika[[#This Row],[czy_st_nie_wzrastal]]</f>
        <v>0</v>
      </c>
      <c r="J227" s="4">
        <f>HOUR(fotowoltaika[[#This Row],[zach]]-fotowoltaika[[#This Row],[wsch]])</f>
        <v>14</v>
      </c>
      <c r="K227">
        <f>(K226+(0.8*fotowoltaika[[#This Row],[oddanie]])-(fotowoltaika[[#This Row],[pobranie]]))</f>
        <v>321.43400000000008</v>
      </c>
      <c r="L227">
        <f>IF(fotowoltaika[[#This Row],[Saldo]]&lt;50,1,0)</f>
        <v>0</v>
      </c>
      <c r="M227">
        <f>IF(fotowoltaika[[#This Row],[Saldo]]&lt;0,1,0)</f>
        <v>0</v>
      </c>
    </row>
    <row r="228" spans="1:13" x14ac:dyDescent="0.3">
      <c r="A228" s="1">
        <v>44788</v>
      </c>
      <c r="B228" s="2">
        <v>0.22065972222222222</v>
      </c>
      <c r="C228" s="2">
        <v>0.83559027777777772</v>
      </c>
      <c r="D228">
        <v>0</v>
      </c>
      <c r="E228">
        <v>19.920000000000002</v>
      </c>
      <c r="F228">
        <v>12.25</v>
      </c>
      <c r="G228">
        <v>1.77</v>
      </c>
      <c r="H228">
        <f>IF(AND(fotowoltaika[[#This Row],[st_zach]]&lt;=D227,fotowoltaika[[#This Row],[produkcja]]&gt;=E227),1,0)</f>
        <v>1</v>
      </c>
      <c r="I228">
        <f>(I227+fotowoltaika[[#This Row],[czy_st_nie_wzrastal]])*fotowoltaika[[#This Row],[czy_st_nie_wzrastal]]</f>
        <v>1</v>
      </c>
      <c r="J228" s="4">
        <f>HOUR(fotowoltaika[[#This Row],[zach]]-fotowoltaika[[#This Row],[wsch]])</f>
        <v>14</v>
      </c>
      <c r="K228">
        <f>(K227+(0.8*fotowoltaika[[#This Row],[oddanie]])-(fotowoltaika[[#This Row],[pobranie]]))</f>
        <v>329.46400000000011</v>
      </c>
      <c r="L228">
        <f>IF(fotowoltaika[[#This Row],[Saldo]]&lt;50,1,0)</f>
        <v>0</v>
      </c>
      <c r="M228">
        <f>IF(fotowoltaika[[#This Row],[Saldo]]&lt;0,1,0)</f>
        <v>0</v>
      </c>
    </row>
    <row r="229" spans="1:13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>IF(AND(fotowoltaika[[#This Row],[st_zach]]&lt;=D228,fotowoltaika[[#This Row],[produkcja]]&gt;=E228),1,0)</f>
        <v>0</v>
      </c>
      <c r="I229">
        <f>(I228+fotowoltaika[[#This Row],[czy_st_nie_wzrastal]])*fotowoltaika[[#This Row],[czy_st_nie_wzrastal]]</f>
        <v>0</v>
      </c>
      <c r="J229" s="4">
        <f>HOUR(fotowoltaika[[#This Row],[zach]]-fotowoltaika[[#This Row],[wsch]])</f>
        <v>14</v>
      </c>
      <c r="K229">
        <f>(K228+(0.8*fotowoltaika[[#This Row],[oddanie]])-(fotowoltaika[[#This Row],[pobranie]]))</f>
        <v>333.25200000000012</v>
      </c>
      <c r="L229">
        <f>IF(fotowoltaika[[#This Row],[Saldo]]&lt;50,1,0)</f>
        <v>0</v>
      </c>
      <c r="M229">
        <f>IF(fotowoltaika[[#This Row],[Saldo]]&lt;0,1,0)</f>
        <v>0</v>
      </c>
    </row>
    <row r="230" spans="1:13" x14ac:dyDescent="0.3">
      <c r="A230" s="1">
        <v>44790</v>
      </c>
      <c r="B230" s="2">
        <v>0.22295138888888888</v>
      </c>
      <c r="C230" s="2">
        <v>0.83273148148148146</v>
      </c>
      <c r="D230">
        <v>0</v>
      </c>
      <c r="E230">
        <v>18.84</v>
      </c>
      <c r="F230">
        <v>10.64</v>
      </c>
      <c r="G230">
        <v>3.51</v>
      </c>
      <c r="H230">
        <f>IF(AND(fotowoltaika[[#This Row],[st_zach]]&lt;=D229,fotowoltaika[[#This Row],[produkcja]]&gt;=E229),1,0)</f>
        <v>1</v>
      </c>
      <c r="I230">
        <f>(I229+fotowoltaika[[#This Row],[czy_st_nie_wzrastal]])*fotowoltaika[[#This Row],[czy_st_nie_wzrastal]]</f>
        <v>1</v>
      </c>
      <c r="J230" s="4">
        <f>HOUR(fotowoltaika[[#This Row],[zach]]-fotowoltaika[[#This Row],[wsch]])</f>
        <v>14</v>
      </c>
      <c r="K230">
        <f>(K229+(0.8*fotowoltaika[[#This Row],[oddanie]])-(fotowoltaika[[#This Row],[pobranie]]))</f>
        <v>338.25400000000013</v>
      </c>
      <c r="L230">
        <f>IF(fotowoltaika[[#This Row],[Saldo]]&lt;50,1,0)</f>
        <v>0</v>
      </c>
      <c r="M230">
        <f>IF(fotowoltaika[[#This Row],[Saldo]]&lt;0,1,0)</f>
        <v>0</v>
      </c>
    </row>
    <row r="231" spans="1:13" x14ac:dyDescent="0.3">
      <c r="A231" s="1">
        <v>44791</v>
      </c>
      <c r="B231" s="2">
        <v>0.22409722222222223</v>
      </c>
      <c r="C231" s="2">
        <v>0.83127314814814812</v>
      </c>
      <c r="D231">
        <v>0</v>
      </c>
      <c r="E231">
        <v>18.97</v>
      </c>
      <c r="F231">
        <v>10.97</v>
      </c>
      <c r="G231">
        <v>3.09</v>
      </c>
      <c r="H231">
        <f>IF(AND(fotowoltaika[[#This Row],[st_zach]]&lt;=D230,fotowoltaika[[#This Row],[produkcja]]&gt;=E230),1,0)</f>
        <v>1</v>
      </c>
      <c r="I231">
        <f>(I230+fotowoltaika[[#This Row],[czy_st_nie_wzrastal]])*fotowoltaika[[#This Row],[czy_st_nie_wzrastal]]</f>
        <v>2</v>
      </c>
      <c r="J231" s="4">
        <f>HOUR(fotowoltaika[[#This Row],[zach]]-fotowoltaika[[#This Row],[wsch]])</f>
        <v>14</v>
      </c>
      <c r="K231">
        <f>(K230+(0.8*fotowoltaika[[#This Row],[oddanie]])-(fotowoltaika[[#This Row],[pobranie]]))</f>
        <v>343.94000000000017</v>
      </c>
      <c r="L231">
        <f>IF(fotowoltaika[[#This Row],[Saldo]]&lt;50,1,0)</f>
        <v>0</v>
      </c>
      <c r="M231">
        <f>IF(fotowoltaika[[#This Row],[Saldo]]&lt;0,1,0)</f>
        <v>0</v>
      </c>
    </row>
    <row r="232" spans="1:13" x14ac:dyDescent="0.3">
      <c r="A232" s="1">
        <v>44792</v>
      </c>
      <c r="B232" s="2">
        <v>0.22524305555555554</v>
      </c>
      <c r="C232" s="2">
        <v>0.82981481481481478</v>
      </c>
      <c r="D232">
        <v>1</v>
      </c>
      <c r="E232">
        <v>11.99</v>
      </c>
      <c r="F232">
        <v>7.68</v>
      </c>
      <c r="G232">
        <v>3.68</v>
      </c>
      <c r="H232">
        <f>IF(AND(fotowoltaika[[#This Row],[st_zach]]&lt;=D231,fotowoltaika[[#This Row],[produkcja]]&gt;=E231),1,0)</f>
        <v>0</v>
      </c>
      <c r="I232">
        <f>(I231+fotowoltaika[[#This Row],[czy_st_nie_wzrastal]])*fotowoltaika[[#This Row],[czy_st_nie_wzrastal]]</f>
        <v>0</v>
      </c>
      <c r="J232" s="4">
        <f>HOUR(fotowoltaika[[#This Row],[zach]]-fotowoltaika[[#This Row],[wsch]])</f>
        <v>14</v>
      </c>
      <c r="K232">
        <f>(K231+(0.8*fotowoltaika[[#This Row],[oddanie]])-(fotowoltaika[[#This Row],[pobranie]]))</f>
        <v>346.40400000000017</v>
      </c>
      <c r="L232">
        <f>IF(fotowoltaika[[#This Row],[Saldo]]&lt;50,1,0)</f>
        <v>0</v>
      </c>
      <c r="M232">
        <f>IF(fotowoltaika[[#This Row],[Saldo]]&lt;0,1,0)</f>
        <v>0</v>
      </c>
    </row>
    <row r="233" spans="1:13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>IF(AND(fotowoltaika[[#This Row],[st_zach]]&lt;=D232,fotowoltaika[[#This Row],[produkcja]]&gt;=E232),1,0)</f>
        <v>1</v>
      </c>
      <c r="I233">
        <f>(I232+fotowoltaika[[#This Row],[czy_st_nie_wzrastal]])*fotowoltaika[[#This Row],[czy_st_nie_wzrastal]]</f>
        <v>1</v>
      </c>
      <c r="J233" s="4">
        <f>HOUR(fotowoltaika[[#This Row],[zach]]-fotowoltaika[[#This Row],[wsch]])</f>
        <v>14</v>
      </c>
      <c r="K233">
        <f>(K232+(0.8*fotowoltaika[[#This Row],[oddanie]])-(fotowoltaika[[#This Row],[pobranie]]))</f>
        <v>352.29600000000016</v>
      </c>
      <c r="L233">
        <f>IF(fotowoltaika[[#This Row],[Saldo]]&lt;50,1,0)</f>
        <v>0</v>
      </c>
      <c r="M233">
        <f>IF(fotowoltaika[[#This Row],[Saldo]]&lt;0,1,0)</f>
        <v>0</v>
      </c>
    </row>
    <row r="234" spans="1:13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>IF(AND(fotowoltaika[[#This Row],[st_zach]]&lt;=D233,fotowoltaika[[#This Row],[produkcja]]&gt;=E233),1,0)</f>
        <v>0</v>
      </c>
      <c r="I234">
        <f>(I233+fotowoltaika[[#This Row],[czy_st_nie_wzrastal]])*fotowoltaika[[#This Row],[czy_st_nie_wzrastal]]</f>
        <v>0</v>
      </c>
      <c r="J234" s="4">
        <f>HOUR(fotowoltaika[[#This Row],[zach]]-fotowoltaika[[#This Row],[wsch]])</f>
        <v>14</v>
      </c>
      <c r="K234">
        <f>(K233+(0.8*fotowoltaika[[#This Row],[oddanie]])-(fotowoltaika[[#This Row],[pobranie]]))</f>
        <v>356.56800000000021</v>
      </c>
      <c r="L234">
        <f>IF(fotowoltaika[[#This Row],[Saldo]]&lt;50,1,0)</f>
        <v>0</v>
      </c>
      <c r="M234">
        <f>IF(fotowoltaika[[#This Row],[Saldo]]&lt;0,1,0)</f>
        <v>0</v>
      </c>
    </row>
    <row r="235" spans="1:13" x14ac:dyDescent="0.3">
      <c r="A235" s="1">
        <v>44795</v>
      </c>
      <c r="B235" s="2">
        <v>0.22868055555555555</v>
      </c>
      <c r="C235" s="2">
        <v>0.82535879629629627</v>
      </c>
      <c r="D235">
        <v>1</v>
      </c>
      <c r="E235">
        <v>14.17</v>
      </c>
      <c r="F235">
        <v>9.9700000000000006</v>
      </c>
      <c r="G235">
        <v>3.16</v>
      </c>
      <c r="H235">
        <f>IF(AND(fotowoltaika[[#This Row],[st_zach]]&lt;=D234,fotowoltaika[[#This Row],[produkcja]]&gt;=E234),1,0)</f>
        <v>1</v>
      </c>
      <c r="I235">
        <f>(I234+fotowoltaika[[#This Row],[czy_st_nie_wzrastal]])*fotowoltaika[[#This Row],[czy_st_nie_wzrastal]]</f>
        <v>1</v>
      </c>
      <c r="J235" s="4">
        <f>HOUR(fotowoltaika[[#This Row],[zach]]-fotowoltaika[[#This Row],[wsch]])</f>
        <v>14</v>
      </c>
      <c r="K235">
        <f>(K234+(0.8*fotowoltaika[[#This Row],[oddanie]])-(fotowoltaika[[#This Row],[pobranie]]))</f>
        <v>361.38400000000019</v>
      </c>
      <c r="L235">
        <f>IF(fotowoltaika[[#This Row],[Saldo]]&lt;50,1,0)</f>
        <v>0</v>
      </c>
      <c r="M235">
        <f>IF(fotowoltaika[[#This Row],[Saldo]]&lt;0,1,0)</f>
        <v>0</v>
      </c>
    </row>
    <row r="236" spans="1:13" x14ac:dyDescent="0.3">
      <c r="A236" s="1">
        <v>44796</v>
      </c>
      <c r="B236" s="2">
        <v>0.2298263888888889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>IF(AND(fotowoltaika[[#This Row],[st_zach]]&lt;=D235,fotowoltaika[[#This Row],[produkcja]]&gt;=E235),1,0)</f>
        <v>0</v>
      </c>
      <c r="I236">
        <f>(I235+fotowoltaika[[#This Row],[czy_st_nie_wzrastal]])*fotowoltaika[[#This Row],[czy_st_nie_wzrastal]]</f>
        <v>0</v>
      </c>
      <c r="J236" s="4">
        <f>HOUR(fotowoltaika[[#This Row],[zach]]-fotowoltaika[[#This Row],[wsch]])</f>
        <v>14</v>
      </c>
      <c r="K236">
        <f>(K235+(0.8*fotowoltaika[[#This Row],[oddanie]])-(fotowoltaika[[#This Row],[pobranie]]))</f>
        <v>364.72200000000015</v>
      </c>
      <c r="L236">
        <f>IF(fotowoltaika[[#This Row],[Saldo]]&lt;50,1,0)</f>
        <v>0</v>
      </c>
      <c r="M236">
        <f>IF(fotowoltaika[[#This Row],[Saldo]]&lt;0,1,0)</f>
        <v>0</v>
      </c>
    </row>
    <row r="237" spans="1:13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>IF(AND(fotowoltaika[[#This Row],[st_zach]]&lt;=D236,fotowoltaika[[#This Row],[produkcja]]&gt;=E236),1,0)</f>
        <v>1</v>
      </c>
      <c r="I237">
        <f>(I236+fotowoltaika[[#This Row],[czy_st_nie_wzrastal]])*fotowoltaika[[#This Row],[czy_st_nie_wzrastal]]</f>
        <v>1</v>
      </c>
      <c r="J237" s="4">
        <f>HOUR(fotowoltaika[[#This Row],[zach]]-fotowoltaika[[#This Row],[wsch]])</f>
        <v>14</v>
      </c>
      <c r="K237">
        <f>(K236+(0.8*fotowoltaika[[#This Row],[oddanie]])-(fotowoltaika[[#This Row],[pobranie]]))</f>
        <v>370.07400000000013</v>
      </c>
      <c r="L237">
        <f>IF(fotowoltaika[[#This Row],[Saldo]]&lt;50,1,0)</f>
        <v>0</v>
      </c>
      <c r="M237">
        <f>IF(fotowoltaika[[#This Row],[Saldo]]&lt;0,1,0)</f>
        <v>0</v>
      </c>
    </row>
    <row r="238" spans="1:13" x14ac:dyDescent="0.3">
      <c r="A238" s="1">
        <v>44798</v>
      </c>
      <c r="B238" s="2">
        <v>0.23211805555555556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>IF(AND(fotowoltaika[[#This Row],[st_zach]]&lt;=D237,fotowoltaika[[#This Row],[produkcja]]&gt;=E237),1,0)</f>
        <v>0</v>
      </c>
      <c r="I238">
        <f>(I237+fotowoltaika[[#This Row],[czy_st_nie_wzrastal]])*fotowoltaika[[#This Row],[czy_st_nie_wzrastal]]</f>
        <v>0</v>
      </c>
      <c r="J238" s="4">
        <f>HOUR(fotowoltaika[[#This Row],[zach]]-fotowoltaika[[#This Row],[wsch]])</f>
        <v>14</v>
      </c>
      <c r="K238">
        <f>(K237+(0.8*fotowoltaika[[#This Row],[oddanie]])-(fotowoltaika[[#This Row],[pobranie]]))</f>
        <v>375.87800000000016</v>
      </c>
      <c r="L238">
        <f>IF(fotowoltaika[[#This Row],[Saldo]]&lt;50,1,0)</f>
        <v>0</v>
      </c>
      <c r="M238">
        <f>IF(fotowoltaika[[#This Row],[Saldo]]&lt;0,1,0)</f>
        <v>0</v>
      </c>
    </row>
    <row r="239" spans="1:13" x14ac:dyDescent="0.3">
      <c r="A239" s="1">
        <v>44799</v>
      </c>
      <c r="B239" s="2">
        <v>0.23326388888888888</v>
      </c>
      <c r="C239" s="2">
        <v>0.81927083333333328</v>
      </c>
      <c r="D239">
        <v>0</v>
      </c>
      <c r="E239">
        <v>16.829999999999998</v>
      </c>
      <c r="F239">
        <v>8.83</v>
      </c>
      <c r="G239">
        <v>3.07</v>
      </c>
      <c r="H239">
        <f>IF(AND(fotowoltaika[[#This Row],[st_zach]]&lt;=D238,fotowoltaika[[#This Row],[produkcja]]&gt;=E238),1,0)</f>
        <v>0</v>
      </c>
      <c r="I239">
        <f>(I238+fotowoltaika[[#This Row],[czy_st_nie_wzrastal]])*fotowoltaika[[#This Row],[czy_st_nie_wzrastal]]</f>
        <v>0</v>
      </c>
      <c r="J239" s="4">
        <f>HOUR(fotowoltaika[[#This Row],[zach]]-fotowoltaika[[#This Row],[wsch]])</f>
        <v>14</v>
      </c>
      <c r="K239">
        <f>(K238+(0.8*fotowoltaika[[#This Row],[oddanie]])-(fotowoltaika[[#This Row],[pobranie]]))</f>
        <v>379.87200000000018</v>
      </c>
      <c r="L239">
        <f>IF(fotowoltaika[[#This Row],[Saldo]]&lt;50,1,0)</f>
        <v>0</v>
      </c>
      <c r="M239">
        <f>IF(fotowoltaika[[#This Row],[Saldo]]&lt;0,1,0)</f>
        <v>0</v>
      </c>
    </row>
    <row r="240" spans="1:13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>IF(AND(fotowoltaika[[#This Row],[st_zach]]&lt;=D239,fotowoltaika[[#This Row],[produkcja]]&gt;=E239),1,0)</f>
        <v>1</v>
      </c>
      <c r="I240">
        <f>(I239+fotowoltaika[[#This Row],[czy_st_nie_wzrastal]])*fotowoltaika[[#This Row],[czy_st_nie_wzrastal]]</f>
        <v>1</v>
      </c>
      <c r="J240" s="4">
        <f>HOUR(fotowoltaika[[#This Row],[zach]]-fotowoltaika[[#This Row],[wsch]])</f>
        <v>13</v>
      </c>
      <c r="K240">
        <f>(K239+(0.8*fotowoltaika[[#This Row],[oddanie]])-(fotowoltaika[[#This Row],[pobranie]]))</f>
        <v>386.13600000000019</v>
      </c>
      <c r="L240">
        <f>IF(fotowoltaika[[#This Row],[Saldo]]&lt;50,1,0)</f>
        <v>0</v>
      </c>
      <c r="M240">
        <f>IF(fotowoltaika[[#This Row],[Saldo]]&lt;0,1,0)</f>
        <v>0</v>
      </c>
    </row>
    <row r="241" spans="1:13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>IF(AND(fotowoltaika[[#This Row],[st_zach]]&lt;=D240,fotowoltaika[[#This Row],[produkcja]]&gt;=E240),1,0)</f>
        <v>1</v>
      </c>
      <c r="I241">
        <f>(I240+fotowoltaika[[#This Row],[czy_st_nie_wzrastal]])*fotowoltaika[[#This Row],[czy_st_nie_wzrastal]]</f>
        <v>2</v>
      </c>
      <c r="J241" s="4">
        <f>HOUR(fotowoltaika[[#This Row],[zach]]-fotowoltaika[[#This Row],[wsch]])</f>
        <v>13</v>
      </c>
      <c r="K241">
        <f>(K240+(0.8*fotowoltaika[[#This Row],[oddanie]])-(fotowoltaika[[#This Row],[pobranie]]))</f>
        <v>391.72200000000021</v>
      </c>
      <c r="L241">
        <f>IF(fotowoltaika[[#This Row],[Saldo]]&lt;50,1,0)</f>
        <v>0</v>
      </c>
      <c r="M241">
        <f>IF(fotowoltaika[[#This Row],[Saldo]]&lt;0,1,0)</f>
        <v>0</v>
      </c>
    </row>
    <row r="242" spans="1:13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>IF(AND(fotowoltaika[[#This Row],[st_zach]]&lt;=D241,fotowoltaika[[#This Row],[produkcja]]&gt;=E241),1,0)</f>
        <v>1</v>
      </c>
      <c r="I242">
        <f>(I241+fotowoltaika[[#This Row],[czy_st_nie_wzrastal]])*fotowoltaika[[#This Row],[czy_st_nie_wzrastal]]</f>
        <v>3</v>
      </c>
      <c r="J242" s="4">
        <f>HOUR(fotowoltaika[[#This Row],[zach]]-fotowoltaika[[#This Row],[wsch]])</f>
        <v>13</v>
      </c>
      <c r="K242">
        <f>(K241+(0.8*fotowoltaika[[#This Row],[oddanie]])-(fotowoltaika[[#This Row],[pobranie]]))</f>
        <v>398.25000000000023</v>
      </c>
      <c r="L242">
        <f>IF(fotowoltaika[[#This Row],[Saldo]]&lt;50,1,0)</f>
        <v>0</v>
      </c>
      <c r="M242">
        <f>IF(fotowoltaika[[#This Row],[Saldo]]&lt;0,1,0)</f>
        <v>0</v>
      </c>
    </row>
    <row r="243" spans="1:13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>IF(AND(fotowoltaika[[#This Row],[st_zach]]&lt;=D242,fotowoltaika[[#This Row],[produkcja]]&gt;=E242),1,0)</f>
        <v>0</v>
      </c>
      <c r="I243">
        <f>(I242+fotowoltaika[[#This Row],[czy_st_nie_wzrastal]])*fotowoltaika[[#This Row],[czy_st_nie_wzrastal]]</f>
        <v>0</v>
      </c>
      <c r="J243" s="4">
        <f>HOUR(fotowoltaika[[#This Row],[zach]]-fotowoltaika[[#This Row],[wsch]])</f>
        <v>13</v>
      </c>
      <c r="K243">
        <f>(K242+(0.8*fotowoltaika[[#This Row],[oddanie]])-(fotowoltaika[[#This Row],[pobranie]]))</f>
        <v>404.44400000000019</v>
      </c>
      <c r="L243">
        <f>IF(fotowoltaika[[#This Row],[Saldo]]&lt;50,1,0)</f>
        <v>0</v>
      </c>
      <c r="M243">
        <f>IF(fotowoltaika[[#This Row],[Saldo]]&lt;0,1,0)</f>
        <v>0</v>
      </c>
    </row>
    <row r="244" spans="1:13" x14ac:dyDescent="0.3">
      <c r="A244" s="1">
        <v>44804</v>
      </c>
      <c r="B244" s="2">
        <v>0.23899305555555556</v>
      </c>
      <c r="C244" s="2">
        <v>0.81146990740740743</v>
      </c>
      <c r="D244">
        <v>0</v>
      </c>
      <c r="E244">
        <v>17.559999999999999</v>
      </c>
      <c r="F244">
        <v>9.49</v>
      </c>
      <c r="G244">
        <v>0.94</v>
      </c>
      <c r="H244">
        <f>IF(AND(fotowoltaika[[#This Row],[st_zach]]&lt;=D243,fotowoltaika[[#This Row],[produkcja]]&gt;=E243),1,0)</f>
        <v>0</v>
      </c>
      <c r="I244">
        <f>(I243+fotowoltaika[[#This Row],[czy_st_nie_wzrastal]])*fotowoltaika[[#This Row],[czy_st_nie_wzrastal]]</f>
        <v>0</v>
      </c>
      <c r="J244" s="4">
        <f>HOUR(fotowoltaika[[#This Row],[zach]]-fotowoltaika[[#This Row],[wsch]])</f>
        <v>13</v>
      </c>
      <c r="K244">
        <f>(K243+(0.8*fotowoltaika[[#This Row],[oddanie]])-(fotowoltaika[[#This Row],[pobranie]]))</f>
        <v>411.09600000000017</v>
      </c>
      <c r="L244">
        <f>IF(fotowoltaika[[#This Row],[Saldo]]&lt;50,1,0)</f>
        <v>0</v>
      </c>
      <c r="M244">
        <f>IF(fotowoltaika[[#This Row],[Saldo]]&lt;0,1,0)</f>
        <v>0</v>
      </c>
    </row>
    <row r="245" spans="1:13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>IF(AND(fotowoltaika[[#This Row],[st_zach]]&lt;=D244,fotowoltaika[[#This Row],[produkcja]]&gt;=E244),1,0)</f>
        <v>0</v>
      </c>
      <c r="I245">
        <f>(I244+fotowoltaika[[#This Row],[czy_st_nie_wzrastal]])*fotowoltaika[[#This Row],[czy_st_nie_wzrastal]]</f>
        <v>0</v>
      </c>
      <c r="J245" s="4">
        <f>HOUR(fotowoltaika[[#This Row],[zach]]-fotowoltaika[[#This Row],[wsch]])</f>
        <v>13</v>
      </c>
      <c r="K245">
        <f>(K244+(0.8*fotowoltaika[[#This Row],[oddanie]])-(fotowoltaika[[#This Row],[pobranie]]))</f>
        <v>416.47400000000016</v>
      </c>
      <c r="L245">
        <f>IF(fotowoltaika[[#This Row],[Saldo]]&lt;50,1,0)</f>
        <v>0</v>
      </c>
      <c r="M245">
        <f>IF(fotowoltaika[[#This Row],[Saldo]]&lt;0,1,0)</f>
        <v>0</v>
      </c>
    </row>
    <row r="246" spans="1:13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>IF(AND(fotowoltaika[[#This Row],[st_zach]]&lt;=D245,fotowoltaika[[#This Row],[produkcja]]&gt;=E245),1,0)</f>
        <v>0</v>
      </c>
      <c r="I246">
        <f>(I245+fotowoltaika[[#This Row],[czy_st_nie_wzrastal]])*fotowoltaika[[#This Row],[czy_st_nie_wzrastal]]</f>
        <v>0</v>
      </c>
      <c r="J246" s="4">
        <f>HOUR(fotowoltaika[[#This Row],[zach]]-fotowoltaika[[#This Row],[wsch]])</f>
        <v>13</v>
      </c>
      <c r="K246">
        <f>(K245+(0.8*fotowoltaika[[#This Row],[oddanie]])-(fotowoltaika[[#This Row],[pobranie]]))</f>
        <v>419.97200000000015</v>
      </c>
      <c r="L246">
        <f>IF(fotowoltaika[[#This Row],[Saldo]]&lt;50,1,0)</f>
        <v>0</v>
      </c>
      <c r="M246">
        <f>IF(fotowoltaika[[#This Row],[Saldo]]&lt;0,1,0)</f>
        <v>0</v>
      </c>
    </row>
    <row r="247" spans="1:13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>IF(AND(fotowoltaika[[#This Row],[st_zach]]&lt;=D246,fotowoltaika[[#This Row],[produkcja]]&gt;=E246),1,0)</f>
        <v>0</v>
      </c>
      <c r="I247">
        <f>(I246+fotowoltaika[[#This Row],[czy_st_nie_wzrastal]])*fotowoltaika[[#This Row],[czy_st_nie_wzrastal]]</f>
        <v>0</v>
      </c>
      <c r="J247" s="4">
        <f>HOUR(fotowoltaika[[#This Row],[zach]]-fotowoltaika[[#This Row],[wsch]])</f>
        <v>13</v>
      </c>
      <c r="K247">
        <f>(K246+(0.8*fotowoltaika[[#This Row],[oddanie]])-(fotowoltaika[[#This Row],[pobranie]]))</f>
        <v>422.23400000000015</v>
      </c>
      <c r="L247">
        <f>IF(fotowoltaika[[#This Row],[Saldo]]&lt;50,1,0)</f>
        <v>0</v>
      </c>
      <c r="M247">
        <f>IF(fotowoltaika[[#This Row],[Saldo]]&lt;0,1,0)</f>
        <v>0</v>
      </c>
    </row>
    <row r="248" spans="1:13" x14ac:dyDescent="0.3">
      <c r="A248" s="1">
        <v>44808</v>
      </c>
      <c r="B248" s="2">
        <v>0.24356481481481482</v>
      </c>
      <c r="C248" s="2">
        <v>0.80510416666666662</v>
      </c>
      <c r="D248">
        <v>0</v>
      </c>
      <c r="E248">
        <v>19.399999999999999</v>
      </c>
      <c r="F248">
        <v>10.84</v>
      </c>
      <c r="G248">
        <v>0.84</v>
      </c>
      <c r="H248">
        <f>IF(AND(fotowoltaika[[#This Row],[st_zach]]&lt;=D247,fotowoltaika[[#This Row],[produkcja]]&gt;=E247),1,0)</f>
        <v>1</v>
      </c>
      <c r="I248">
        <f>(I247+fotowoltaika[[#This Row],[czy_st_nie_wzrastal]])*fotowoltaika[[#This Row],[czy_st_nie_wzrastal]]</f>
        <v>1</v>
      </c>
      <c r="J248" s="4">
        <f>HOUR(fotowoltaika[[#This Row],[zach]]-fotowoltaika[[#This Row],[wsch]])</f>
        <v>13</v>
      </c>
      <c r="K248">
        <f>(K247+(0.8*fotowoltaika[[#This Row],[oddanie]])-(fotowoltaika[[#This Row],[pobranie]]))</f>
        <v>430.0660000000002</v>
      </c>
      <c r="L248">
        <f>IF(fotowoltaika[[#This Row],[Saldo]]&lt;50,1,0)</f>
        <v>0</v>
      </c>
      <c r="M248">
        <f>IF(fotowoltaika[[#This Row],[Saldo]]&lt;0,1,0)</f>
        <v>0</v>
      </c>
    </row>
    <row r="249" spans="1:13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>IF(AND(fotowoltaika[[#This Row],[st_zach]]&lt;=D248,fotowoltaika[[#This Row],[produkcja]]&gt;=E248),1,0)</f>
        <v>0</v>
      </c>
      <c r="I249">
        <f>(I248+fotowoltaika[[#This Row],[czy_st_nie_wzrastal]])*fotowoltaika[[#This Row],[czy_st_nie_wzrastal]]</f>
        <v>0</v>
      </c>
      <c r="J249" s="4">
        <f>HOUR(fotowoltaika[[#This Row],[zach]]-fotowoltaika[[#This Row],[wsch]])</f>
        <v>13</v>
      </c>
      <c r="K249">
        <f>(K248+(0.8*fotowoltaika[[#This Row],[oddanie]])-(fotowoltaika[[#This Row],[pobranie]]))</f>
        <v>434.03800000000018</v>
      </c>
      <c r="L249">
        <f>IF(fotowoltaika[[#This Row],[Saldo]]&lt;50,1,0)</f>
        <v>0</v>
      </c>
      <c r="M249">
        <f>IF(fotowoltaika[[#This Row],[Saldo]]&lt;0,1,0)</f>
        <v>0</v>
      </c>
    </row>
    <row r="250" spans="1:13" x14ac:dyDescent="0.3">
      <c r="A250" s="1">
        <v>44810</v>
      </c>
      <c r="B250" s="2">
        <v>0.24584490740740741</v>
      </c>
      <c r="C250" s="2">
        <v>0.80189814814814819</v>
      </c>
      <c r="D250">
        <v>2</v>
      </c>
      <c r="E250">
        <v>10.199999999999999</v>
      </c>
      <c r="F250">
        <v>6.94</v>
      </c>
      <c r="G250">
        <v>1.89</v>
      </c>
      <c r="H250">
        <f>IF(AND(fotowoltaika[[#This Row],[st_zach]]&lt;=D249,fotowoltaika[[#This Row],[produkcja]]&gt;=E249),1,0)</f>
        <v>0</v>
      </c>
      <c r="I250">
        <f>(I249+fotowoltaika[[#This Row],[czy_st_nie_wzrastal]])*fotowoltaika[[#This Row],[czy_st_nie_wzrastal]]</f>
        <v>0</v>
      </c>
      <c r="J250" s="4">
        <f>HOUR(fotowoltaika[[#This Row],[zach]]-fotowoltaika[[#This Row],[wsch]])</f>
        <v>13</v>
      </c>
      <c r="K250">
        <f>(K249+(0.8*fotowoltaika[[#This Row],[oddanie]])-(fotowoltaika[[#This Row],[pobranie]]))</f>
        <v>437.70000000000022</v>
      </c>
      <c r="L250">
        <f>IF(fotowoltaika[[#This Row],[Saldo]]&lt;50,1,0)</f>
        <v>0</v>
      </c>
      <c r="M250">
        <f>IF(fotowoltaika[[#This Row],[Saldo]]&lt;0,1,0)</f>
        <v>0</v>
      </c>
    </row>
    <row r="251" spans="1:13" x14ac:dyDescent="0.3">
      <c r="A251" s="1">
        <v>44811</v>
      </c>
      <c r="B251" s="2">
        <v>0.24699074074074073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>IF(AND(fotowoltaika[[#This Row],[st_zach]]&lt;=D250,fotowoltaika[[#This Row],[produkcja]]&gt;=E250),1,0)</f>
        <v>1</v>
      </c>
      <c r="I251">
        <f>(I250+fotowoltaika[[#This Row],[czy_st_nie_wzrastal]])*fotowoltaika[[#This Row],[czy_st_nie_wzrastal]]</f>
        <v>1</v>
      </c>
      <c r="J251" s="4">
        <f>HOUR(fotowoltaika[[#This Row],[zach]]-fotowoltaika[[#This Row],[wsch]])</f>
        <v>13</v>
      </c>
      <c r="K251">
        <f>(K250+(0.8*fotowoltaika[[#This Row],[oddanie]])-(fotowoltaika[[#This Row],[pobranie]]))</f>
        <v>444.49600000000021</v>
      </c>
      <c r="L251">
        <f>IF(fotowoltaika[[#This Row],[Saldo]]&lt;50,1,0)</f>
        <v>0</v>
      </c>
      <c r="M251">
        <f>IF(fotowoltaika[[#This Row],[Saldo]]&lt;0,1,0)</f>
        <v>0</v>
      </c>
    </row>
    <row r="252" spans="1:13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>IF(AND(fotowoltaika[[#This Row],[st_zach]]&lt;=D251,fotowoltaika[[#This Row],[produkcja]]&gt;=E251),1,0)</f>
        <v>0</v>
      </c>
      <c r="I252">
        <f>(I251+fotowoltaika[[#This Row],[czy_st_nie_wzrastal]])*fotowoltaika[[#This Row],[czy_st_nie_wzrastal]]</f>
        <v>0</v>
      </c>
      <c r="J252" s="4">
        <f>HOUR(fotowoltaika[[#This Row],[zach]]-fotowoltaika[[#This Row],[wsch]])</f>
        <v>13</v>
      </c>
      <c r="K252">
        <f>(K251+(0.8*fotowoltaika[[#This Row],[oddanie]])-(fotowoltaika[[#This Row],[pobranie]]))</f>
        <v>448.33600000000018</v>
      </c>
      <c r="L252">
        <f>IF(fotowoltaika[[#This Row],[Saldo]]&lt;50,1,0)</f>
        <v>0</v>
      </c>
      <c r="M252">
        <f>IF(fotowoltaika[[#This Row],[Saldo]]&lt;0,1,0)</f>
        <v>0</v>
      </c>
    </row>
    <row r="253" spans="1:13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>IF(AND(fotowoltaika[[#This Row],[st_zach]]&lt;=D252,fotowoltaika[[#This Row],[produkcja]]&gt;=E252),1,0)</f>
        <v>0</v>
      </c>
      <c r="I253">
        <f>(I252+fotowoltaika[[#This Row],[czy_st_nie_wzrastal]])*fotowoltaika[[#This Row],[czy_st_nie_wzrastal]]</f>
        <v>0</v>
      </c>
      <c r="J253" s="4">
        <f>HOUR(fotowoltaika[[#This Row],[zach]]-fotowoltaika[[#This Row],[wsch]])</f>
        <v>13</v>
      </c>
      <c r="K253">
        <f>(K252+(0.8*fotowoltaika[[#This Row],[oddanie]])-(fotowoltaika[[#This Row],[pobranie]]))</f>
        <v>451.85000000000019</v>
      </c>
      <c r="L253">
        <f>IF(fotowoltaika[[#This Row],[Saldo]]&lt;50,1,0)</f>
        <v>0</v>
      </c>
      <c r="M253">
        <f>IF(fotowoltaika[[#This Row],[Saldo]]&lt;0,1,0)</f>
        <v>0</v>
      </c>
    </row>
    <row r="254" spans="1:13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>IF(AND(fotowoltaika[[#This Row],[st_zach]]&lt;=D253,fotowoltaika[[#This Row],[produkcja]]&gt;=E253),1,0)</f>
        <v>1</v>
      </c>
      <c r="I254">
        <f>(I253+fotowoltaika[[#This Row],[czy_st_nie_wzrastal]])*fotowoltaika[[#This Row],[czy_st_nie_wzrastal]]</f>
        <v>1</v>
      </c>
      <c r="J254" s="4">
        <f>HOUR(fotowoltaika[[#This Row],[zach]]-fotowoltaika[[#This Row],[wsch]])</f>
        <v>13</v>
      </c>
      <c r="K254">
        <f>(K253+(0.8*fotowoltaika[[#This Row],[oddanie]])-(fotowoltaika[[#This Row],[pobranie]]))</f>
        <v>459.32600000000019</v>
      </c>
      <c r="L254">
        <f>IF(fotowoltaika[[#This Row],[Saldo]]&lt;50,1,0)</f>
        <v>0</v>
      </c>
      <c r="M254">
        <f>IF(fotowoltaika[[#This Row],[Saldo]]&lt;0,1,0)</f>
        <v>0</v>
      </c>
    </row>
    <row r="255" spans="1:13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>IF(AND(fotowoltaika[[#This Row],[st_zach]]&lt;=D254,fotowoltaika[[#This Row],[produkcja]]&gt;=E254),1,0)</f>
        <v>0</v>
      </c>
      <c r="I255">
        <f>(I254+fotowoltaika[[#This Row],[czy_st_nie_wzrastal]])*fotowoltaika[[#This Row],[czy_st_nie_wzrastal]]</f>
        <v>0</v>
      </c>
      <c r="J255" s="4">
        <f>HOUR(fotowoltaika[[#This Row],[zach]]-fotowoltaika[[#This Row],[wsch]])</f>
        <v>13</v>
      </c>
      <c r="K255">
        <f>(K254+(0.8*fotowoltaika[[#This Row],[oddanie]])-(fotowoltaika[[#This Row],[pobranie]]))</f>
        <v>466.10400000000021</v>
      </c>
      <c r="L255">
        <f>IF(fotowoltaika[[#This Row],[Saldo]]&lt;50,1,0)</f>
        <v>0</v>
      </c>
      <c r="M255">
        <f>IF(fotowoltaika[[#This Row],[Saldo]]&lt;0,1,0)</f>
        <v>0</v>
      </c>
    </row>
    <row r="256" spans="1:13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>IF(AND(fotowoltaika[[#This Row],[st_zach]]&lt;=D255,fotowoltaika[[#This Row],[produkcja]]&gt;=E255),1,0)</f>
        <v>0</v>
      </c>
      <c r="I256">
        <f>(I255+fotowoltaika[[#This Row],[czy_st_nie_wzrastal]])*fotowoltaika[[#This Row],[czy_st_nie_wzrastal]]</f>
        <v>0</v>
      </c>
      <c r="J256" s="4">
        <f>HOUR(fotowoltaika[[#This Row],[zach]]-fotowoltaika[[#This Row],[wsch]])</f>
        <v>12</v>
      </c>
      <c r="K256">
        <f>(K255+(0.8*fotowoltaika[[#This Row],[oddanie]])-(fotowoltaika[[#This Row],[pobranie]]))</f>
        <v>470.01200000000023</v>
      </c>
      <c r="L256">
        <f>IF(fotowoltaika[[#This Row],[Saldo]]&lt;50,1,0)</f>
        <v>0</v>
      </c>
      <c r="M256">
        <f>IF(fotowoltaika[[#This Row],[Saldo]]&lt;0,1,0)</f>
        <v>0</v>
      </c>
    </row>
    <row r="257" spans="1:13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>IF(AND(fotowoltaika[[#This Row],[st_zach]]&lt;=D256,fotowoltaika[[#This Row],[produkcja]]&gt;=E256),1,0)</f>
        <v>1</v>
      </c>
      <c r="I257">
        <f>(I256+fotowoltaika[[#This Row],[czy_st_nie_wzrastal]])*fotowoltaika[[#This Row],[czy_st_nie_wzrastal]]</f>
        <v>1</v>
      </c>
      <c r="J257" s="4">
        <f>HOUR(fotowoltaika[[#This Row],[zach]]-fotowoltaika[[#This Row],[wsch]])</f>
        <v>12</v>
      </c>
      <c r="K257">
        <f>(K256+(0.8*fotowoltaika[[#This Row],[oddanie]])-(fotowoltaika[[#This Row],[pobranie]]))</f>
        <v>474.75600000000026</v>
      </c>
      <c r="L257">
        <f>IF(fotowoltaika[[#This Row],[Saldo]]&lt;50,1,0)</f>
        <v>0</v>
      </c>
      <c r="M257">
        <f>IF(fotowoltaika[[#This Row],[Saldo]]&lt;0,1,0)</f>
        <v>0</v>
      </c>
    </row>
    <row r="258" spans="1:13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>IF(AND(fotowoltaika[[#This Row],[st_zach]]&lt;=D257,fotowoltaika[[#This Row],[produkcja]]&gt;=E257),1,0)</f>
        <v>1</v>
      </c>
      <c r="I258">
        <f>(I257+fotowoltaika[[#This Row],[czy_st_nie_wzrastal]])*fotowoltaika[[#This Row],[czy_st_nie_wzrastal]]</f>
        <v>2</v>
      </c>
      <c r="J258" s="4">
        <f>HOUR(fotowoltaika[[#This Row],[zach]]-fotowoltaika[[#This Row],[wsch]])</f>
        <v>12</v>
      </c>
      <c r="K258">
        <f>(K257+(0.8*fotowoltaika[[#This Row],[oddanie]])-(fotowoltaika[[#This Row],[pobranie]]))</f>
        <v>476.83000000000027</v>
      </c>
      <c r="L258">
        <f>IF(fotowoltaika[[#This Row],[Saldo]]&lt;50,1,0)</f>
        <v>0</v>
      </c>
      <c r="M258">
        <f>IF(fotowoltaika[[#This Row],[Saldo]]&lt;0,1,0)</f>
        <v>0</v>
      </c>
    </row>
    <row r="259" spans="1:13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>IF(AND(fotowoltaika[[#This Row],[st_zach]]&lt;=D258,fotowoltaika[[#This Row],[produkcja]]&gt;=E258),1,0)</f>
        <v>1</v>
      </c>
      <c r="I259">
        <f>(I258+fotowoltaika[[#This Row],[czy_st_nie_wzrastal]])*fotowoltaika[[#This Row],[czy_st_nie_wzrastal]]</f>
        <v>3</v>
      </c>
      <c r="J259" s="4">
        <f>HOUR(fotowoltaika[[#This Row],[zach]]-fotowoltaika[[#This Row],[wsch]])</f>
        <v>12</v>
      </c>
      <c r="K259">
        <f>(K258+(0.8*fotowoltaika[[#This Row],[oddanie]])-(fotowoltaika[[#This Row],[pobranie]]))</f>
        <v>481.15600000000029</v>
      </c>
      <c r="L259">
        <f>IF(fotowoltaika[[#This Row],[Saldo]]&lt;50,1,0)</f>
        <v>0</v>
      </c>
      <c r="M259">
        <f>IF(fotowoltaika[[#This Row],[Saldo]]&lt;0,1,0)</f>
        <v>0</v>
      </c>
    </row>
    <row r="260" spans="1:13" x14ac:dyDescent="0.3">
      <c r="A260" s="1">
        <v>44820</v>
      </c>
      <c r="B260" s="2">
        <v>0.25725694444444447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>IF(AND(fotowoltaika[[#This Row],[st_zach]]&lt;=D259,fotowoltaika[[#This Row],[produkcja]]&gt;=E259),1,0)</f>
        <v>0</v>
      </c>
      <c r="I260">
        <f>(I259+fotowoltaika[[#This Row],[czy_st_nie_wzrastal]])*fotowoltaika[[#This Row],[czy_st_nie_wzrastal]]</f>
        <v>0</v>
      </c>
      <c r="J260" s="4">
        <f>HOUR(fotowoltaika[[#This Row],[zach]]-fotowoltaika[[#This Row],[wsch]])</f>
        <v>12</v>
      </c>
      <c r="K260">
        <f>(K259+(0.8*fotowoltaika[[#This Row],[oddanie]])-(fotowoltaika[[#This Row],[pobranie]]))</f>
        <v>481.68000000000029</v>
      </c>
      <c r="L260">
        <f>IF(fotowoltaika[[#This Row],[Saldo]]&lt;50,1,0)</f>
        <v>0</v>
      </c>
      <c r="M260">
        <f>IF(fotowoltaika[[#This Row],[Saldo]]&lt;0,1,0)</f>
        <v>0</v>
      </c>
    </row>
    <row r="261" spans="1:13" x14ac:dyDescent="0.3">
      <c r="A261" s="1">
        <v>44821</v>
      </c>
      <c r="B261" s="2">
        <v>0.25840277777777776</v>
      </c>
      <c r="C261" s="2">
        <v>0.78396990740740746</v>
      </c>
      <c r="D261">
        <v>1</v>
      </c>
      <c r="E261">
        <v>13.43</v>
      </c>
      <c r="F261">
        <v>8.9700000000000006</v>
      </c>
      <c r="G261">
        <v>3.24</v>
      </c>
      <c r="H261">
        <f>IF(AND(fotowoltaika[[#This Row],[st_zach]]&lt;=D260,fotowoltaika[[#This Row],[produkcja]]&gt;=E260),1,0)</f>
        <v>1</v>
      </c>
      <c r="I261">
        <f>(I260+fotowoltaika[[#This Row],[czy_st_nie_wzrastal]])*fotowoltaika[[#This Row],[czy_st_nie_wzrastal]]</f>
        <v>1</v>
      </c>
      <c r="J261" s="4">
        <f>HOUR(fotowoltaika[[#This Row],[zach]]-fotowoltaika[[#This Row],[wsch]])</f>
        <v>12</v>
      </c>
      <c r="K261">
        <f>(K260+(0.8*fotowoltaika[[#This Row],[oddanie]])-(fotowoltaika[[#This Row],[pobranie]]))</f>
        <v>485.61600000000027</v>
      </c>
      <c r="L261">
        <f>IF(fotowoltaika[[#This Row],[Saldo]]&lt;50,1,0)</f>
        <v>0</v>
      </c>
      <c r="M261">
        <f>IF(fotowoltaika[[#This Row],[Saldo]]&lt;0,1,0)</f>
        <v>0</v>
      </c>
    </row>
    <row r="262" spans="1:13" x14ac:dyDescent="0.3">
      <c r="A262" s="1">
        <v>44822</v>
      </c>
      <c r="B262" s="2">
        <v>0.2595486111111111</v>
      </c>
      <c r="C262" s="2">
        <v>0.78232638888888884</v>
      </c>
      <c r="D262">
        <v>1</v>
      </c>
      <c r="E262">
        <v>12.57</v>
      </c>
      <c r="F262">
        <v>8.44</v>
      </c>
      <c r="G262">
        <v>3.16</v>
      </c>
      <c r="H262">
        <f>IF(AND(fotowoltaika[[#This Row],[st_zach]]&lt;=D261,fotowoltaika[[#This Row],[produkcja]]&gt;=E261),1,0)</f>
        <v>0</v>
      </c>
      <c r="I262">
        <f>(I261+fotowoltaika[[#This Row],[czy_st_nie_wzrastal]])*fotowoltaika[[#This Row],[czy_st_nie_wzrastal]]</f>
        <v>0</v>
      </c>
      <c r="J262" s="4">
        <f>HOUR(fotowoltaika[[#This Row],[zach]]-fotowoltaika[[#This Row],[wsch]])</f>
        <v>12</v>
      </c>
      <c r="K262">
        <f>(K261+(0.8*fotowoltaika[[#This Row],[oddanie]])-(fotowoltaika[[#This Row],[pobranie]]))</f>
        <v>489.20800000000025</v>
      </c>
      <c r="L262">
        <f>IF(fotowoltaika[[#This Row],[Saldo]]&lt;50,1,0)</f>
        <v>0</v>
      </c>
      <c r="M262">
        <f>IF(fotowoltaika[[#This Row],[Saldo]]&lt;0,1,0)</f>
        <v>0</v>
      </c>
    </row>
    <row r="263" spans="1:13" x14ac:dyDescent="0.3">
      <c r="A263" s="1">
        <v>44823</v>
      </c>
      <c r="B263" s="2">
        <v>0.26069444444444445</v>
      </c>
      <c r="C263" s="2">
        <v>0.78068287037037032</v>
      </c>
      <c r="D263">
        <v>2</v>
      </c>
      <c r="E263">
        <v>10.44</v>
      </c>
      <c r="F263">
        <v>7.84</v>
      </c>
      <c r="G263">
        <v>2.48</v>
      </c>
      <c r="H263">
        <f>IF(AND(fotowoltaika[[#This Row],[st_zach]]&lt;=D262,fotowoltaika[[#This Row],[produkcja]]&gt;=E262),1,0)</f>
        <v>0</v>
      </c>
      <c r="I263">
        <f>(I262+fotowoltaika[[#This Row],[czy_st_nie_wzrastal]])*fotowoltaika[[#This Row],[czy_st_nie_wzrastal]]</f>
        <v>0</v>
      </c>
      <c r="J263" s="4">
        <f>HOUR(fotowoltaika[[#This Row],[zach]]-fotowoltaika[[#This Row],[wsch]])</f>
        <v>12</v>
      </c>
      <c r="K263">
        <f>(K262+(0.8*fotowoltaika[[#This Row],[oddanie]])-(fotowoltaika[[#This Row],[pobranie]]))</f>
        <v>493.00000000000023</v>
      </c>
      <c r="L263">
        <f>IF(fotowoltaika[[#This Row],[Saldo]]&lt;50,1,0)</f>
        <v>0</v>
      </c>
      <c r="M263">
        <f>IF(fotowoltaika[[#This Row],[Saldo]]&lt;0,1,0)</f>
        <v>0</v>
      </c>
    </row>
    <row r="264" spans="1:13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>IF(AND(fotowoltaika[[#This Row],[st_zach]]&lt;=D263,fotowoltaika[[#This Row],[produkcja]]&gt;=E263),1,0)</f>
        <v>1</v>
      </c>
      <c r="I264">
        <f>(I263+fotowoltaika[[#This Row],[czy_st_nie_wzrastal]])*fotowoltaika[[#This Row],[czy_st_nie_wzrastal]]</f>
        <v>1</v>
      </c>
      <c r="J264" s="4">
        <f>HOUR(fotowoltaika[[#This Row],[zach]]-fotowoltaika[[#This Row],[wsch]])</f>
        <v>12</v>
      </c>
      <c r="K264">
        <f>(K263+(0.8*fotowoltaika[[#This Row],[oddanie]])-(fotowoltaika[[#This Row],[pobranie]]))</f>
        <v>494.58000000000021</v>
      </c>
      <c r="L264">
        <f>IF(fotowoltaika[[#This Row],[Saldo]]&lt;50,1,0)</f>
        <v>0</v>
      </c>
      <c r="M264">
        <f>IF(fotowoltaika[[#This Row],[Saldo]]&lt;0,1,0)</f>
        <v>0</v>
      </c>
    </row>
    <row r="265" spans="1:13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>IF(AND(fotowoltaika[[#This Row],[st_zach]]&lt;=D264,fotowoltaika[[#This Row],[produkcja]]&gt;=E264),1,0)</f>
        <v>1</v>
      </c>
      <c r="I265">
        <f>(I264+fotowoltaika[[#This Row],[czy_st_nie_wzrastal]])*fotowoltaika[[#This Row],[czy_st_nie_wzrastal]]</f>
        <v>2</v>
      </c>
      <c r="J265" s="4">
        <f>HOUR(fotowoltaika[[#This Row],[zach]]-fotowoltaika[[#This Row],[wsch]])</f>
        <v>12</v>
      </c>
      <c r="K265">
        <f>(K264+(0.8*fotowoltaika[[#This Row],[oddanie]])-(fotowoltaika[[#This Row],[pobranie]]))</f>
        <v>497.44000000000023</v>
      </c>
      <c r="L265">
        <f>IF(fotowoltaika[[#This Row],[Saldo]]&lt;50,1,0)</f>
        <v>0</v>
      </c>
      <c r="M265">
        <f>IF(fotowoltaika[[#This Row],[Saldo]]&lt;0,1,0)</f>
        <v>0</v>
      </c>
    </row>
    <row r="266" spans="1:13" x14ac:dyDescent="0.3">
      <c r="A266" s="1">
        <v>44826</v>
      </c>
      <c r="B266" s="2">
        <v>0.26414351851851853</v>
      </c>
      <c r="C266" s="2">
        <v>0.77576388888888892</v>
      </c>
      <c r="D266">
        <v>0</v>
      </c>
      <c r="E266">
        <v>16.510000000000002</v>
      </c>
      <c r="F266">
        <v>7.84</v>
      </c>
      <c r="G266">
        <v>0.84</v>
      </c>
      <c r="H266">
        <f>IF(AND(fotowoltaika[[#This Row],[st_zach]]&lt;=D265,fotowoltaika[[#This Row],[produkcja]]&gt;=E265),1,0)</f>
        <v>1</v>
      </c>
      <c r="I266">
        <f>(I265+fotowoltaika[[#This Row],[czy_st_nie_wzrastal]])*fotowoltaika[[#This Row],[czy_st_nie_wzrastal]]</f>
        <v>3</v>
      </c>
      <c r="J266" s="4">
        <f>HOUR(fotowoltaika[[#This Row],[zach]]-fotowoltaika[[#This Row],[wsch]])</f>
        <v>12</v>
      </c>
      <c r="K266">
        <f>(K265+(0.8*fotowoltaika[[#This Row],[oddanie]])-(fotowoltaika[[#This Row],[pobranie]]))</f>
        <v>502.87200000000024</v>
      </c>
      <c r="L266">
        <f>IF(fotowoltaika[[#This Row],[Saldo]]&lt;50,1,0)</f>
        <v>0</v>
      </c>
      <c r="M266">
        <f>IF(fotowoltaika[[#This Row],[Saldo]]&lt;0,1,0)</f>
        <v>0</v>
      </c>
    </row>
    <row r="267" spans="1:13" x14ac:dyDescent="0.3">
      <c r="A267" s="1">
        <v>44827</v>
      </c>
      <c r="B267" s="2">
        <v>0.26528935185185187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>IF(AND(fotowoltaika[[#This Row],[st_zach]]&lt;=D266,fotowoltaika[[#This Row],[produkcja]]&gt;=E266),1,0)</f>
        <v>0</v>
      </c>
      <c r="I267">
        <f>(I266+fotowoltaika[[#This Row],[czy_st_nie_wzrastal]])*fotowoltaika[[#This Row],[czy_st_nie_wzrastal]]</f>
        <v>0</v>
      </c>
      <c r="J267" s="4">
        <f>HOUR(fotowoltaika[[#This Row],[zach]]-fotowoltaika[[#This Row],[wsch]])</f>
        <v>12</v>
      </c>
      <c r="K267">
        <f>(K266+(0.8*fotowoltaika[[#This Row],[oddanie]])-(fotowoltaika[[#This Row],[pobranie]]))</f>
        <v>502.56800000000027</v>
      </c>
      <c r="L267">
        <f>IF(fotowoltaika[[#This Row],[Saldo]]&lt;50,1,0)</f>
        <v>0</v>
      </c>
      <c r="M267">
        <f>IF(fotowoltaika[[#This Row],[Saldo]]&lt;0,1,0)</f>
        <v>0</v>
      </c>
    </row>
    <row r="268" spans="1:13" x14ac:dyDescent="0.3">
      <c r="A268" s="1">
        <v>44828</v>
      </c>
      <c r="B268" s="2">
        <v>0.26643518518518516</v>
      </c>
      <c r="C268" s="2">
        <v>0.77248842592592593</v>
      </c>
      <c r="D268">
        <v>0</v>
      </c>
      <c r="E268">
        <v>15.85</v>
      </c>
      <c r="F268">
        <v>6.64</v>
      </c>
      <c r="G268">
        <v>2.69</v>
      </c>
      <c r="H268">
        <f>IF(AND(fotowoltaika[[#This Row],[st_zach]]&lt;=D267,fotowoltaika[[#This Row],[produkcja]]&gt;=E267),1,0)</f>
        <v>1</v>
      </c>
      <c r="I268">
        <f>(I267+fotowoltaika[[#This Row],[czy_st_nie_wzrastal]])*fotowoltaika[[#This Row],[czy_st_nie_wzrastal]]</f>
        <v>1</v>
      </c>
      <c r="J268" s="4">
        <f>HOUR(fotowoltaika[[#This Row],[zach]]-fotowoltaika[[#This Row],[wsch]])</f>
        <v>12</v>
      </c>
      <c r="K268">
        <f>(K267+(0.8*fotowoltaika[[#This Row],[oddanie]])-(fotowoltaika[[#This Row],[pobranie]]))</f>
        <v>505.19000000000028</v>
      </c>
      <c r="L268">
        <f>IF(fotowoltaika[[#This Row],[Saldo]]&lt;50,1,0)</f>
        <v>0</v>
      </c>
      <c r="M268">
        <f>IF(fotowoltaika[[#This Row],[Saldo]]&lt;0,1,0)</f>
        <v>0</v>
      </c>
    </row>
    <row r="269" spans="1:13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>IF(AND(fotowoltaika[[#This Row],[st_zach]]&lt;=D268,fotowoltaika[[#This Row],[produkcja]]&gt;=E268),1,0)</f>
        <v>1</v>
      </c>
      <c r="I269">
        <f>(I268+fotowoltaika[[#This Row],[czy_st_nie_wzrastal]])*fotowoltaika[[#This Row],[czy_st_nie_wzrastal]]</f>
        <v>2</v>
      </c>
      <c r="J269" s="4">
        <f>HOUR(fotowoltaika[[#This Row],[zach]]-fotowoltaika[[#This Row],[wsch]])</f>
        <v>12</v>
      </c>
      <c r="K269">
        <f>(K268+(0.8*fotowoltaika[[#This Row],[oddanie]])-(fotowoltaika[[#This Row],[pobranie]]))</f>
        <v>511.00200000000029</v>
      </c>
      <c r="L269">
        <f>IF(fotowoltaika[[#This Row],[Saldo]]&lt;50,1,0)</f>
        <v>0</v>
      </c>
      <c r="M269">
        <f>IF(fotowoltaika[[#This Row],[Saldo]]&lt;0,1,0)</f>
        <v>0</v>
      </c>
    </row>
    <row r="270" spans="1:13" x14ac:dyDescent="0.3">
      <c r="A270" s="1">
        <v>44830</v>
      </c>
      <c r="B270" s="2">
        <v>0.26874999999999999</v>
      </c>
      <c r="C270" s="2">
        <v>0.76921296296296293</v>
      </c>
      <c r="D270">
        <v>1</v>
      </c>
      <c r="E270">
        <v>11.93</v>
      </c>
      <c r="F270">
        <v>7.93</v>
      </c>
      <c r="G270">
        <v>3.04</v>
      </c>
      <c r="H270">
        <f>IF(AND(fotowoltaika[[#This Row],[st_zach]]&lt;=D269,fotowoltaika[[#This Row],[produkcja]]&gt;=E269),1,0)</f>
        <v>0</v>
      </c>
      <c r="I270">
        <f>(I269+fotowoltaika[[#This Row],[czy_st_nie_wzrastal]])*fotowoltaika[[#This Row],[czy_st_nie_wzrastal]]</f>
        <v>0</v>
      </c>
      <c r="J270" s="4">
        <f>HOUR(fotowoltaika[[#This Row],[zach]]-fotowoltaika[[#This Row],[wsch]])</f>
        <v>12</v>
      </c>
      <c r="K270">
        <f>(K269+(0.8*fotowoltaika[[#This Row],[oddanie]])-(fotowoltaika[[#This Row],[pobranie]]))</f>
        <v>514.30600000000038</v>
      </c>
      <c r="L270">
        <f>IF(fotowoltaika[[#This Row],[Saldo]]&lt;50,1,0)</f>
        <v>0</v>
      </c>
      <c r="M270">
        <f>IF(fotowoltaika[[#This Row],[Saldo]]&lt;0,1,0)</f>
        <v>0</v>
      </c>
    </row>
    <row r="271" spans="1:13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>IF(AND(fotowoltaika[[#This Row],[st_zach]]&lt;=D270,fotowoltaika[[#This Row],[produkcja]]&gt;=E270),1,0)</f>
        <v>1</v>
      </c>
      <c r="I271">
        <f>(I270+fotowoltaika[[#This Row],[czy_st_nie_wzrastal]])*fotowoltaika[[#This Row],[czy_st_nie_wzrastal]]</f>
        <v>1</v>
      </c>
      <c r="J271" s="4">
        <f>HOUR(fotowoltaika[[#This Row],[zach]]-fotowoltaika[[#This Row],[wsch]])</f>
        <v>11</v>
      </c>
      <c r="K271">
        <f>(K270+(0.8*fotowoltaika[[#This Row],[oddanie]])-(fotowoltaika[[#This Row],[pobranie]]))</f>
        <v>518.17800000000034</v>
      </c>
      <c r="L271">
        <f>IF(fotowoltaika[[#This Row],[Saldo]]&lt;50,1,0)</f>
        <v>0</v>
      </c>
      <c r="M271">
        <f>IF(fotowoltaika[[#This Row],[Saldo]]&lt;0,1,0)</f>
        <v>0</v>
      </c>
    </row>
    <row r="272" spans="1:13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>IF(AND(fotowoltaika[[#This Row],[st_zach]]&lt;=D271,fotowoltaika[[#This Row],[produkcja]]&gt;=E271),1,0)</f>
        <v>1</v>
      </c>
      <c r="I272">
        <f>(I271+fotowoltaika[[#This Row],[czy_st_nie_wzrastal]])*fotowoltaika[[#This Row],[czy_st_nie_wzrastal]]</f>
        <v>2</v>
      </c>
      <c r="J272" s="4">
        <f>HOUR(fotowoltaika[[#This Row],[zach]]-fotowoltaika[[#This Row],[wsch]])</f>
        <v>11</v>
      </c>
      <c r="K272">
        <f>(K271+(0.8*fotowoltaika[[#This Row],[oddanie]])-(fotowoltaika[[#This Row],[pobranie]]))</f>
        <v>522.07800000000032</v>
      </c>
      <c r="L272">
        <f>IF(fotowoltaika[[#This Row],[Saldo]]&lt;50,1,0)</f>
        <v>0</v>
      </c>
      <c r="M272">
        <f>IF(fotowoltaika[[#This Row],[Saldo]]&lt;0,1,0)</f>
        <v>0</v>
      </c>
    </row>
    <row r="273" spans="1:13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>IF(AND(fotowoltaika[[#This Row],[st_zach]]&lt;=D272,fotowoltaika[[#This Row],[produkcja]]&gt;=E272),1,0)</f>
        <v>0</v>
      </c>
      <c r="I273">
        <f>(I272+fotowoltaika[[#This Row],[czy_st_nie_wzrastal]])*fotowoltaika[[#This Row],[czy_st_nie_wzrastal]]</f>
        <v>0</v>
      </c>
      <c r="J273" s="4">
        <f>HOUR(fotowoltaika[[#This Row],[zach]]-fotowoltaika[[#This Row],[wsch]])</f>
        <v>11</v>
      </c>
      <c r="K273">
        <f>(K272+(0.8*fotowoltaika[[#This Row],[oddanie]])-(fotowoltaika[[#This Row],[pobranie]]))</f>
        <v>524.57600000000025</v>
      </c>
      <c r="L273">
        <f>IF(fotowoltaika[[#This Row],[Saldo]]&lt;50,1,0)</f>
        <v>0</v>
      </c>
      <c r="M273">
        <f>IF(fotowoltaika[[#This Row],[Saldo]]&lt;0,1,0)</f>
        <v>0</v>
      </c>
    </row>
    <row r="274" spans="1:13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>IF(AND(fotowoltaika[[#This Row],[st_zach]]&lt;=D273,fotowoltaika[[#This Row],[produkcja]]&gt;=E273),1,0)</f>
        <v>1</v>
      </c>
      <c r="I274">
        <f>(I273+fotowoltaika[[#This Row],[czy_st_nie_wzrastal]])*fotowoltaika[[#This Row],[czy_st_nie_wzrastal]]</f>
        <v>1</v>
      </c>
      <c r="J274" s="4">
        <f>HOUR(fotowoltaika[[#This Row],[zach]]-fotowoltaika[[#This Row],[wsch]])</f>
        <v>11</v>
      </c>
      <c r="K274">
        <f>(K273+(0.8*fotowoltaika[[#This Row],[oddanie]])-(fotowoltaika[[#This Row],[pobranie]]))</f>
        <v>526.61200000000031</v>
      </c>
      <c r="L274">
        <f>IF(fotowoltaika[[#This Row],[Saldo]]&lt;50,1,0)</f>
        <v>0</v>
      </c>
      <c r="M274">
        <f>IF(fotowoltaika[[#This Row],[Saldo]]&lt;0,1,0)</f>
        <v>0</v>
      </c>
    </row>
    <row r="275" spans="1:13" x14ac:dyDescent="0.3">
      <c r="A275" s="1">
        <v>44835</v>
      </c>
      <c r="B275" s="2">
        <v>0.27456018518518521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>IF(AND(fotowoltaika[[#This Row],[st_zach]]&lt;=D274,fotowoltaika[[#This Row],[produkcja]]&gt;=E274),1,0)</f>
        <v>0</v>
      </c>
      <c r="I275">
        <f>(I274+fotowoltaika[[#This Row],[czy_st_nie_wzrastal]])*fotowoltaika[[#This Row],[czy_st_nie_wzrastal]]</f>
        <v>0</v>
      </c>
      <c r="J275" s="4">
        <f>HOUR(fotowoltaika[[#This Row],[zach]]-fotowoltaika[[#This Row],[wsch]])</f>
        <v>11</v>
      </c>
      <c r="K275">
        <f>(K274+(0.8*fotowoltaika[[#This Row],[oddanie]])-(fotowoltaika[[#This Row],[pobranie]]))</f>
        <v>526.99600000000032</v>
      </c>
      <c r="L275">
        <f>IF(fotowoltaika[[#This Row],[Saldo]]&lt;50,1,0)</f>
        <v>0</v>
      </c>
      <c r="M275">
        <f>IF(fotowoltaika[[#This Row],[Saldo]]&lt;0,1,0)</f>
        <v>0</v>
      </c>
    </row>
    <row r="276" spans="1:13" x14ac:dyDescent="0.3">
      <c r="A276" s="1">
        <v>44836</v>
      </c>
      <c r="B276" s="2">
        <v>0.27572916666666669</v>
      </c>
      <c r="C276" s="2">
        <v>0.75947916666666671</v>
      </c>
      <c r="D276">
        <v>2</v>
      </c>
      <c r="E276">
        <v>8.07</v>
      </c>
      <c r="F276">
        <v>6.79</v>
      </c>
      <c r="G276">
        <v>5.03</v>
      </c>
      <c r="H276">
        <f>IF(AND(fotowoltaika[[#This Row],[st_zach]]&lt;=D275,fotowoltaika[[#This Row],[produkcja]]&gt;=E275),1,0)</f>
        <v>1</v>
      </c>
      <c r="I276">
        <f>(I275+fotowoltaika[[#This Row],[czy_st_nie_wzrastal]])*fotowoltaika[[#This Row],[czy_st_nie_wzrastal]]</f>
        <v>1</v>
      </c>
      <c r="J276" s="4">
        <f>HOUR(fotowoltaika[[#This Row],[zach]]-fotowoltaika[[#This Row],[wsch]])</f>
        <v>11</v>
      </c>
      <c r="K276">
        <f>(K275+(0.8*fotowoltaika[[#This Row],[oddanie]])-(fotowoltaika[[#This Row],[pobranie]]))</f>
        <v>527.39800000000037</v>
      </c>
      <c r="L276">
        <f>IF(fotowoltaika[[#This Row],[Saldo]]&lt;50,1,0)</f>
        <v>0</v>
      </c>
      <c r="M276">
        <f>IF(fotowoltaika[[#This Row],[Saldo]]&lt;0,1,0)</f>
        <v>0</v>
      </c>
    </row>
    <row r="277" spans="1:13" x14ac:dyDescent="0.3">
      <c r="A277" s="1">
        <v>44837</v>
      </c>
      <c r="B277" s="2">
        <v>0.27689814814814817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>IF(AND(fotowoltaika[[#This Row],[st_zach]]&lt;=D276,fotowoltaika[[#This Row],[produkcja]]&gt;=E276),1,0)</f>
        <v>0</v>
      </c>
      <c r="I277">
        <f>(I276+fotowoltaika[[#This Row],[czy_st_nie_wzrastal]])*fotowoltaika[[#This Row],[czy_st_nie_wzrastal]]</f>
        <v>0</v>
      </c>
      <c r="J277" s="4">
        <f>HOUR(fotowoltaika[[#This Row],[zach]]-fotowoltaika[[#This Row],[wsch]])</f>
        <v>11</v>
      </c>
      <c r="K277">
        <f>(K276+(0.8*fotowoltaika[[#This Row],[oddanie]])-(fotowoltaika[[#This Row],[pobranie]]))</f>
        <v>526.49400000000037</v>
      </c>
      <c r="L277">
        <f>IF(fotowoltaika[[#This Row],[Saldo]]&lt;50,1,0)</f>
        <v>0</v>
      </c>
      <c r="M277">
        <f>IF(fotowoltaika[[#This Row],[Saldo]]&lt;0,1,0)</f>
        <v>0</v>
      </c>
    </row>
    <row r="278" spans="1:13" x14ac:dyDescent="0.3">
      <c r="A278" s="1">
        <v>44838</v>
      </c>
      <c r="B278" s="2">
        <v>0.27807870370370369</v>
      </c>
      <c r="C278" s="2">
        <v>0.75626157407407413</v>
      </c>
      <c r="D278">
        <v>4</v>
      </c>
      <c r="E278">
        <v>4.3899999999999997</v>
      </c>
      <c r="F278">
        <v>1.26</v>
      </c>
      <c r="G278">
        <v>1.19</v>
      </c>
      <c r="H278">
        <f>IF(AND(fotowoltaika[[#This Row],[st_zach]]&lt;=D277,fotowoltaika[[#This Row],[produkcja]]&gt;=E277),1,0)</f>
        <v>0</v>
      </c>
      <c r="I278">
        <f>(I277+fotowoltaika[[#This Row],[czy_st_nie_wzrastal]])*fotowoltaika[[#This Row],[czy_st_nie_wzrastal]]</f>
        <v>0</v>
      </c>
      <c r="J278" s="4">
        <f>HOUR(fotowoltaika[[#This Row],[zach]]-fotowoltaika[[#This Row],[wsch]])</f>
        <v>11</v>
      </c>
      <c r="K278">
        <f>(K277+(0.8*fotowoltaika[[#This Row],[oddanie]])-(fotowoltaika[[#This Row],[pobranie]]))</f>
        <v>526.31200000000035</v>
      </c>
      <c r="L278">
        <f>IF(fotowoltaika[[#This Row],[Saldo]]&lt;50,1,0)</f>
        <v>0</v>
      </c>
      <c r="M278">
        <f>IF(fotowoltaika[[#This Row],[Saldo]]&lt;0,1,0)</f>
        <v>0</v>
      </c>
    </row>
    <row r="279" spans="1:13" x14ac:dyDescent="0.3">
      <c r="A279" s="1">
        <v>44839</v>
      </c>
      <c r="B279" s="2">
        <v>0.27925925925925926</v>
      </c>
      <c r="C279" s="2">
        <v>0.75466435185185188</v>
      </c>
      <c r="D279">
        <v>4</v>
      </c>
      <c r="E279">
        <v>5.07</v>
      </c>
      <c r="F279">
        <v>2.68</v>
      </c>
      <c r="G279">
        <v>2.14</v>
      </c>
      <c r="H279">
        <f>IF(AND(fotowoltaika[[#This Row],[st_zach]]&lt;=D278,fotowoltaika[[#This Row],[produkcja]]&gt;=E278),1,0)</f>
        <v>1</v>
      </c>
      <c r="I279">
        <f>(I278+fotowoltaika[[#This Row],[czy_st_nie_wzrastal]])*fotowoltaika[[#This Row],[czy_st_nie_wzrastal]]</f>
        <v>1</v>
      </c>
      <c r="J279" s="4">
        <f>HOUR(fotowoltaika[[#This Row],[zach]]-fotowoltaika[[#This Row],[wsch]])</f>
        <v>11</v>
      </c>
      <c r="K279">
        <f>(K278+(0.8*fotowoltaika[[#This Row],[oddanie]])-(fotowoltaika[[#This Row],[pobranie]]))</f>
        <v>526.31600000000037</v>
      </c>
      <c r="L279">
        <f>IF(fotowoltaika[[#This Row],[Saldo]]&lt;50,1,0)</f>
        <v>0</v>
      </c>
      <c r="M279">
        <f>IF(fotowoltaika[[#This Row],[Saldo]]&lt;0,1,0)</f>
        <v>0</v>
      </c>
    </row>
    <row r="280" spans="1:13" x14ac:dyDescent="0.3">
      <c r="A280" s="1">
        <v>44840</v>
      </c>
      <c r="B280" s="2">
        <v>0.28043981481481484</v>
      </c>
      <c r="C280" s="2">
        <v>0.75306712962962963</v>
      </c>
      <c r="D280">
        <v>4</v>
      </c>
      <c r="E280">
        <v>5.66</v>
      </c>
      <c r="F280">
        <v>3.96</v>
      </c>
      <c r="G280">
        <v>2.1800000000000002</v>
      </c>
      <c r="H280">
        <f>IF(AND(fotowoltaika[[#This Row],[st_zach]]&lt;=D279,fotowoltaika[[#This Row],[produkcja]]&gt;=E279),1,0)</f>
        <v>1</v>
      </c>
      <c r="I280">
        <f>(I279+fotowoltaika[[#This Row],[czy_st_nie_wzrastal]])*fotowoltaika[[#This Row],[czy_st_nie_wzrastal]]</f>
        <v>2</v>
      </c>
      <c r="J280" s="4">
        <f>HOUR(fotowoltaika[[#This Row],[zach]]-fotowoltaika[[#This Row],[wsch]])</f>
        <v>11</v>
      </c>
      <c r="K280">
        <f>(K279+(0.8*fotowoltaika[[#This Row],[oddanie]])-(fotowoltaika[[#This Row],[pobranie]]))</f>
        <v>527.30400000000043</v>
      </c>
      <c r="L280">
        <f>IF(fotowoltaika[[#This Row],[Saldo]]&lt;50,1,0)</f>
        <v>0</v>
      </c>
      <c r="M280">
        <f>IF(fotowoltaika[[#This Row],[Saldo]]&lt;0,1,0)</f>
        <v>0</v>
      </c>
    </row>
    <row r="281" spans="1:13" x14ac:dyDescent="0.3">
      <c r="A281" s="1">
        <v>44841</v>
      </c>
      <c r="B281" s="2">
        <v>0.28162037037037035</v>
      </c>
      <c r="C281" s="2">
        <v>0.75148148148148153</v>
      </c>
      <c r="D281">
        <v>4</v>
      </c>
      <c r="E281">
        <v>5.19</v>
      </c>
      <c r="F281">
        <v>3.12</v>
      </c>
      <c r="G281">
        <v>4.0599999999999996</v>
      </c>
      <c r="H281">
        <f>IF(AND(fotowoltaika[[#This Row],[st_zach]]&lt;=D280,fotowoltaika[[#This Row],[produkcja]]&gt;=E280),1,0)</f>
        <v>0</v>
      </c>
      <c r="I281">
        <f>(I280+fotowoltaika[[#This Row],[czy_st_nie_wzrastal]])*fotowoltaika[[#This Row],[czy_st_nie_wzrastal]]</f>
        <v>0</v>
      </c>
      <c r="J281" s="4">
        <f>HOUR(fotowoltaika[[#This Row],[zach]]-fotowoltaika[[#This Row],[wsch]])</f>
        <v>11</v>
      </c>
      <c r="K281">
        <f>(K280+(0.8*fotowoltaika[[#This Row],[oddanie]])-(fotowoltaika[[#This Row],[pobranie]]))</f>
        <v>525.74000000000046</v>
      </c>
      <c r="L281">
        <f>IF(fotowoltaika[[#This Row],[Saldo]]&lt;50,1,0)</f>
        <v>0</v>
      </c>
      <c r="M281">
        <f>IF(fotowoltaika[[#This Row],[Saldo]]&lt;0,1,0)</f>
        <v>0</v>
      </c>
    </row>
    <row r="282" spans="1:13" x14ac:dyDescent="0.3">
      <c r="A282" s="1">
        <v>44842</v>
      </c>
      <c r="B282" s="2">
        <v>0.28281250000000002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>IF(AND(fotowoltaika[[#This Row],[st_zach]]&lt;=D281,fotowoltaika[[#This Row],[produkcja]]&gt;=E281),1,0)</f>
        <v>0</v>
      </c>
      <c r="I282">
        <f>(I281+fotowoltaika[[#This Row],[czy_st_nie_wzrastal]])*fotowoltaika[[#This Row],[czy_st_nie_wzrastal]]</f>
        <v>0</v>
      </c>
      <c r="J282" s="4">
        <f>HOUR(fotowoltaika[[#This Row],[zach]]-fotowoltaika[[#This Row],[wsch]])</f>
        <v>11</v>
      </c>
      <c r="K282">
        <f>(K281+(0.8*fotowoltaika[[#This Row],[oddanie]])-(fotowoltaika[[#This Row],[pobranie]]))</f>
        <v>522.80000000000052</v>
      </c>
      <c r="L282">
        <f>IF(fotowoltaika[[#This Row],[Saldo]]&lt;50,1,0)</f>
        <v>0</v>
      </c>
      <c r="M282">
        <f>IF(fotowoltaika[[#This Row],[Saldo]]&lt;0,1,0)</f>
        <v>0</v>
      </c>
    </row>
    <row r="283" spans="1:13" x14ac:dyDescent="0.3">
      <c r="A283" s="1">
        <v>44843</v>
      </c>
      <c r="B283" s="2">
        <v>0.28399305555555554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>IF(AND(fotowoltaika[[#This Row],[st_zach]]&lt;=D282,fotowoltaika[[#This Row],[produkcja]]&gt;=E282),1,0)</f>
        <v>1</v>
      </c>
      <c r="I283">
        <f>(I282+fotowoltaika[[#This Row],[czy_st_nie_wzrastal]])*fotowoltaika[[#This Row],[czy_st_nie_wzrastal]]</f>
        <v>1</v>
      </c>
      <c r="J283" s="4">
        <f>HOUR(fotowoltaika[[#This Row],[zach]]-fotowoltaika[[#This Row],[wsch]])</f>
        <v>11</v>
      </c>
      <c r="K283">
        <f>(K282+(0.8*fotowoltaika[[#This Row],[oddanie]])-(fotowoltaika[[#This Row],[pobranie]]))</f>
        <v>523.87000000000057</v>
      </c>
      <c r="L283">
        <f>IF(fotowoltaika[[#This Row],[Saldo]]&lt;50,1,0)</f>
        <v>0</v>
      </c>
      <c r="M283">
        <f>IF(fotowoltaika[[#This Row],[Saldo]]&lt;0,1,0)</f>
        <v>0</v>
      </c>
    </row>
    <row r="284" spans="1:13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>IF(AND(fotowoltaika[[#This Row],[st_zach]]&lt;=D283,fotowoltaika[[#This Row],[produkcja]]&gt;=E283),1,0)</f>
        <v>0</v>
      </c>
      <c r="I284">
        <f>(I283+fotowoltaika[[#This Row],[czy_st_nie_wzrastal]])*fotowoltaika[[#This Row],[czy_st_nie_wzrastal]]</f>
        <v>0</v>
      </c>
      <c r="J284" s="4">
        <f>HOUR(fotowoltaika[[#This Row],[zach]]-fotowoltaika[[#This Row],[wsch]])</f>
        <v>11</v>
      </c>
      <c r="K284">
        <f>(K283+(0.8*fotowoltaika[[#This Row],[oddanie]])-(fotowoltaika[[#This Row],[pobranie]]))</f>
        <v>524.3400000000006</v>
      </c>
      <c r="L284">
        <f>IF(fotowoltaika[[#This Row],[Saldo]]&lt;50,1,0)</f>
        <v>0</v>
      </c>
      <c r="M284">
        <f>IF(fotowoltaika[[#This Row],[Saldo]]&lt;0,1,0)</f>
        <v>0</v>
      </c>
    </row>
    <row r="285" spans="1:13" x14ac:dyDescent="0.3">
      <c r="A285" s="1">
        <v>44845</v>
      </c>
      <c r="B285" s="2">
        <v>0.28638888888888892</v>
      </c>
      <c r="C285" s="2">
        <v>0.74519675925925921</v>
      </c>
      <c r="D285">
        <v>3</v>
      </c>
      <c r="E285">
        <v>5.86</v>
      </c>
      <c r="F285">
        <v>4.97</v>
      </c>
      <c r="G285">
        <v>4.0199999999999996</v>
      </c>
      <c r="H285">
        <f>IF(AND(fotowoltaika[[#This Row],[st_zach]]&lt;=D284,fotowoltaika[[#This Row],[produkcja]]&gt;=E284),1,0)</f>
        <v>0</v>
      </c>
      <c r="I285">
        <f>(I284+fotowoltaika[[#This Row],[czy_st_nie_wzrastal]])*fotowoltaika[[#This Row],[czy_st_nie_wzrastal]]</f>
        <v>0</v>
      </c>
      <c r="J285" s="4">
        <f>HOUR(fotowoltaika[[#This Row],[zach]]-fotowoltaika[[#This Row],[wsch]])</f>
        <v>11</v>
      </c>
      <c r="K285">
        <f>(K284+(0.8*fotowoltaika[[#This Row],[oddanie]])-(fotowoltaika[[#This Row],[pobranie]]))</f>
        <v>524.29600000000062</v>
      </c>
      <c r="L285">
        <f>IF(fotowoltaika[[#This Row],[Saldo]]&lt;50,1,0)</f>
        <v>0</v>
      </c>
      <c r="M285">
        <f>IF(fotowoltaika[[#This Row],[Saldo]]&lt;0,1,0)</f>
        <v>0</v>
      </c>
    </row>
    <row r="286" spans="1:13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>IF(AND(fotowoltaika[[#This Row],[st_zach]]&lt;=D285,fotowoltaika[[#This Row],[produkcja]]&gt;=E285),1,0)</f>
        <v>1</v>
      </c>
      <c r="I286">
        <f>(I285+fotowoltaika[[#This Row],[czy_st_nie_wzrastal]])*fotowoltaika[[#This Row],[czy_st_nie_wzrastal]]</f>
        <v>1</v>
      </c>
      <c r="J286" s="4">
        <f>HOUR(fotowoltaika[[#This Row],[zach]]-fotowoltaika[[#This Row],[wsch]])</f>
        <v>10</v>
      </c>
      <c r="K286">
        <f>(K285+(0.8*fotowoltaika[[#This Row],[oddanie]])-(fotowoltaika[[#This Row],[pobranie]]))</f>
        <v>525.10400000000072</v>
      </c>
      <c r="L286">
        <f>IF(fotowoltaika[[#This Row],[Saldo]]&lt;50,1,0)</f>
        <v>0</v>
      </c>
      <c r="M286">
        <f>IF(fotowoltaika[[#This Row],[Saldo]]&lt;0,1,0)</f>
        <v>0</v>
      </c>
    </row>
    <row r="287" spans="1:13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>IF(AND(fotowoltaika[[#This Row],[st_zach]]&lt;=D286,fotowoltaika[[#This Row],[produkcja]]&gt;=E286),1,0)</f>
        <v>0</v>
      </c>
      <c r="I287">
        <f>(I286+fotowoltaika[[#This Row],[czy_st_nie_wzrastal]])*fotowoltaika[[#This Row],[czy_st_nie_wzrastal]]</f>
        <v>0</v>
      </c>
      <c r="J287" s="4">
        <f>HOUR(fotowoltaika[[#This Row],[zach]]-fotowoltaika[[#This Row],[wsch]])</f>
        <v>10</v>
      </c>
      <c r="K287">
        <f>(K286+(0.8*fotowoltaika[[#This Row],[oddanie]])-(fotowoltaika[[#This Row],[pobranie]]))</f>
        <v>523.93800000000078</v>
      </c>
      <c r="L287">
        <f>IF(fotowoltaika[[#This Row],[Saldo]]&lt;50,1,0)</f>
        <v>0</v>
      </c>
      <c r="M287">
        <f>IF(fotowoltaika[[#This Row],[Saldo]]&lt;0,1,0)</f>
        <v>0</v>
      </c>
    </row>
    <row r="288" spans="1:13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>IF(AND(fotowoltaika[[#This Row],[st_zach]]&lt;=D287,fotowoltaika[[#This Row],[produkcja]]&gt;=E287),1,0)</f>
        <v>1</v>
      </c>
      <c r="I288">
        <f>(I287+fotowoltaika[[#This Row],[czy_st_nie_wzrastal]])*fotowoltaika[[#This Row],[czy_st_nie_wzrastal]]</f>
        <v>1</v>
      </c>
      <c r="J288" s="4">
        <f>HOUR(fotowoltaika[[#This Row],[zach]]-fotowoltaika[[#This Row],[wsch]])</f>
        <v>10</v>
      </c>
      <c r="K288">
        <f>(K287+(0.8*fotowoltaika[[#This Row],[oddanie]])-(fotowoltaika[[#This Row],[pobranie]]))</f>
        <v>524.6580000000007</v>
      </c>
      <c r="L288">
        <f>IF(fotowoltaika[[#This Row],[Saldo]]&lt;50,1,0)</f>
        <v>0</v>
      </c>
      <c r="M288">
        <f>IF(fotowoltaika[[#This Row],[Saldo]]&lt;0,1,0)</f>
        <v>0</v>
      </c>
    </row>
    <row r="289" spans="1:13" x14ac:dyDescent="0.3">
      <c r="A289" s="1">
        <v>44849</v>
      </c>
      <c r="B289" s="2">
        <v>0.29121527777777778</v>
      </c>
      <c r="C289" s="2">
        <v>0.73903935185185188</v>
      </c>
      <c r="D289">
        <v>1</v>
      </c>
      <c r="E289">
        <v>8.56</v>
      </c>
      <c r="F289">
        <v>2.86</v>
      </c>
      <c r="G289">
        <v>1.61</v>
      </c>
      <c r="H289">
        <f>IF(AND(fotowoltaika[[#This Row],[st_zach]]&lt;=D288,fotowoltaika[[#This Row],[produkcja]]&gt;=E288),1,0)</f>
        <v>0</v>
      </c>
      <c r="I289">
        <f>(I288+fotowoltaika[[#This Row],[czy_st_nie_wzrastal]])*fotowoltaika[[#This Row],[czy_st_nie_wzrastal]]</f>
        <v>0</v>
      </c>
      <c r="J289" s="4">
        <f>HOUR(fotowoltaika[[#This Row],[zach]]-fotowoltaika[[#This Row],[wsch]])</f>
        <v>10</v>
      </c>
      <c r="K289">
        <f>(K288+(0.8*fotowoltaika[[#This Row],[oddanie]])-(fotowoltaika[[#This Row],[pobranie]]))</f>
        <v>525.33600000000069</v>
      </c>
      <c r="L289">
        <f>IF(fotowoltaika[[#This Row],[Saldo]]&lt;50,1,0)</f>
        <v>0</v>
      </c>
      <c r="M289">
        <f>IF(fotowoltaika[[#This Row],[Saldo]]&lt;0,1,0)</f>
        <v>0</v>
      </c>
    </row>
    <row r="290" spans="1:13" x14ac:dyDescent="0.3">
      <c r="A290" s="1">
        <v>44850</v>
      </c>
      <c r="B290" s="2">
        <v>0.29243055555555558</v>
      </c>
      <c r="C290" s="2">
        <v>0.73752314814814812</v>
      </c>
      <c r="D290">
        <v>0</v>
      </c>
      <c r="E290">
        <v>14.7</v>
      </c>
      <c r="F290">
        <v>5.42</v>
      </c>
      <c r="G290">
        <v>2.48</v>
      </c>
      <c r="H290">
        <f>IF(AND(fotowoltaika[[#This Row],[st_zach]]&lt;=D289,fotowoltaika[[#This Row],[produkcja]]&gt;=E289),1,0)</f>
        <v>1</v>
      </c>
      <c r="I290">
        <f>(I289+fotowoltaika[[#This Row],[czy_st_nie_wzrastal]])*fotowoltaika[[#This Row],[czy_st_nie_wzrastal]]</f>
        <v>1</v>
      </c>
      <c r="J290" s="4">
        <f>HOUR(fotowoltaika[[#This Row],[zach]]-fotowoltaika[[#This Row],[wsch]])</f>
        <v>10</v>
      </c>
      <c r="K290">
        <f>(K289+(0.8*fotowoltaika[[#This Row],[oddanie]])-(fotowoltaika[[#This Row],[pobranie]]))</f>
        <v>527.19200000000069</v>
      </c>
      <c r="L290">
        <f>IF(fotowoltaika[[#This Row],[Saldo]]&lt;50,1,0)</f>
        <v>0</v>
      </c>
      <c r="M290">
        <f>IF(fotowoltaika[[#This Row],[Saldo]]&lt;0,1,0)</f>
        <v>0</v>
      </c>
    </row>
    <row r="291" spans="1:13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>IF(AND(fotowoltaika[[#This Row],[st_zach]]&lt;=D290,fotowoltaika[[#This Row],[produkcja]]&gt;=E290),1,0)</f>
        <v>0</v>
      </c>
      <c r="I291">
        <f>(I290+fotowoltaika[[#This Row],[czy_st_nie_wzrastal]])*fotowoltaika[[#This Row],[czy_st_nie_wzrastal]]</f>
        <v>0</v>
      </c>
      <c r="J291" s="4">
        <f>HOUR(fotowoltaika[[#This Row],[zach]]-fotowoltaika[[#This Row],[wsch]])</f>
        <v>10</v>
      </c>
      <c r="K291">
        <f>(K290+(0.8*fotowoltaika[[#This Row],[oddanie]])-(fotowoltaika[[#This Row],[pobranie]]))</f>
        <v>530.09800000000064</v>
      </c>
      <c r="L291">
        <f>IF(fotowoltaika[[#This Row],[Saldo]]&lt;50,1,0)</f>
        <v>0</v>
      </c>
      <c r="M291">
        <f>IF(fotowoltaika[[#This Row],[Saldo]]&lt;0,1,0)</f>
        <v>0</v>
      </c>
    </row>
    <row r="292" spans="1:13" x14ac:dyDescent="0.3">
      <c r="A292" s="1">
        <v>44852</v>
      </c>
      <c r="B292" s="2">
        <v>0.29486111111111113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>IF(AND(fotowoltaika[[#This Row],[st_zach]]&lt;=D291,fotowoltaika[[#This Row],[produkcja]]&gt;=E291),1,0)</f>
        <v>0</v>
      </c>
      <c r="I292">
        <f>(I291+fotowoltaika[[#This Row],[czy_st_nie_wzrastal]])*fotowoltaika[[#This Row],[czy_st_nie_wzrastal]]</f>
        <v>0</v>
      </c>
      <c r="J292" s="4">
        <f>HOUR(fotowoltaika[[#This Row],[zach]]-fotowoltaika[[#This Row],[wsch]])</f>
        <v>10</v>
      </c>
      <c r="K292">
        <f>(K291+(0.8*fotowoltaika[[#This Row],[oddanie]])-(fotowoltaika[[#This Row],[pobranie]]))</f>
        <v>528.52600000000064</v>
      </c>
      <c r="L292">
        <f>IF(fotowoltaika[[#This Row],[Saldo]]&lt;50,1,0)</f>
        <v>0</v>
      </c>
      <c r="M292">
        <f>IF(fotowoltaika[[#This Row],[Saldo]]&lt;0,1,0)</f>
        <v>0</v>
      </c>
    </row>
    <row r="293" spans="1:13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>IF(AND(fotowoltaika[[#This Row],[st_zach]]&lt;=D292,fotowoltaika[[#This Row],[produkcja]]&gt;=E292),1,0)</f>
        <v>1</v>
      </c>
      <c r="I293">
        <f>(I292+fotowoltaika[[#This Row],[czy_st_nie_wzrastal]])*fotowoltaika[[#This Row],[czy_st_nie_wzrastal]]</f>
        <v>1</v>
      </c>
      <c r="J293" s="4">
        <f>HOUR(fotowoltaika[[#This Row],[zach]]-fotowoltaika[[#This Row],[wsch]])</f>
        <v>10</v>
      </c>
      <c r="K293">
        <f>(K292+(0.8*fotowoltaika[[#This Row],[oddanie]])-(fotowoltaika[[#This Row],[pobranie]]))</f>
        <v>526.4120000000006</v>
      </c>
      <c r="L293">
        <f>IF(fotowoltaika[[#This Row],[Saldo]]&lt;50,1,0)</f>
        <v>0</v>
      </c>
      <c r="M293">
        <f>IF(fotowoltaika[[#This Row],[Saldo]]&lt;0,1,0)</f>
        <v>0</v>
      </c>
    </row>
    <row r="294" spans="1:13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>IF(AND(fotowoltaika[[#This Row],[st_zach]]&lt;=D293,fotowoltaika[[#This Row],[produkcja]]&gt;=E293),1,0)</f>
        <v>1</v>
      </c>
      <c r="I294">
        <f>(I293+fotowoltaika[[#This Row],[czy_st_nie_wzrastal]])*fotowoltaika[[#This Row],[czy_st_nie_wzrastal]]</f>
        <v>2</v>
      </c>
      <c r="J294" s="4">
        <f>HOUR(fotowoltaika[[#This Row],[zach]]-fotowoltaika[[#This Row],[wsch]])</f>
        <v>10</v>
      </c>
      <c r="K294">
        <f>(K293+(0.8*fotowoltaika[[#This Row],[oddanie]])-(fotowoltaika[[#This Row],[pobranie]]))</f>
        <v>527.33000000000061</v>
      </c>
      <c r="L294">
        <f>IF(fotowoltaika[[#This Row],[Saldo]]&lt;50,1,0)</f>
        <v>0</v>
      </c>
      <c r="M294">
        <f>IF(fotowoltaika[[#This Row],[Saldo]]&lt;0,1,0)</f>
        <v>0</v>
      </c>
    </row>
    <row r="295" spans="1:13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>IF(AND(fotowoltaika[[#This Row],[st_zach]]&lt;=D294,fotowoltaika[[#This Row],[produkcja]]&gt;=E294),1,0)</f>
        <v>0</v>
      </c>
      <c r="I295">
        <f>(I294+fotowoltaika[[#This Row],[czy_st_nie_wzrastal]])*fotowoltaika[[#This Row],[czy_st_nie_wzrastal]]</f>
        <v>0</v>
      </c>
      <c r="J295" s="4">
        <f>HOUR(fotowoltaika[[#This Row],[zach]]-fotowoltaika[[#This Row],[wsch]])</f>
        <v>10</v>
      </c>
      <c r="K295">
        <f>(K294+(0.8*fotowoltaika[[#This Row],[oddanie]])-(fotowoltaika[[#This Row],[pobranie]]))</f>
        <v>527.00200000000063</v>
      </c>
      <c r="L295">
        <f>IF(fotowoltaika[[#This Row],[Saldo]]&lt;50,1,0)</f>
        <v>0</v>
      </c>
      <c r="M295">
        <f>IF(fotowoltaika[[#This Row],[Saldo]]&lt;0,1,0)</f>
        <v>0</v>
      </c>
    </row>
    <row r="296" spans="1:13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>IF(AND(fotowoltaika[[#This Row],[st_zach]]&lt;=D295,fotowoltaika[[#This Row],[produkcja]]&gt;=E295),1,0)</f>
        <v>1</v>
      </c>
      <c r="I296">
        <f>(I295+fotowoltaika[[#This Row],[czy_st_nie_wzrastal]])*fotowoltaika[[#This Row],[czy_st_nie_wzrastal]]</f>
        <v>1</v>
      </c>
      <c r="J296" s="4">
        <f>HOUR(fotowoltaika[[#This Row],[zach]]-fotowoltaika[[#This Row],[wsch]])</f>
        <v>10</v>
      </c>
      <c r="K296">
        <f>(K295+(0.8*fotowoltaika[[#This Row],[oddanie]])-(fotowoltaika[[#This Row],[pobranie]]))</f>
        <v>529.70400000000063</v>
      </c>
      <c r="L296">
        <f>IF(fotowoltaika[[#This Row],[Saldo]]&lt;50,1,0)</f>
        <v>0</v>
      </c>
      <c r="M296">
        <f>IF(fotowoltaika[[#This Row],[Saldo]]&lt;0,1,0)</f>
        <v>0</v>
      </c>
    </row>
    <row r="297" spans="1:13" x14ac:dyDescent="0.3">
      <c r="A297" s="1">
        <v>44857</v>
      </c>
      <c r="B297" s="2">
        <v>0.30101851851851852</v>
      </c>
      <c r="C297" s="2">
        <v>0.72721064814814818</v>
      </c>
      <c r="D297">
        <v>7</v>
      </c>
      <c r="E297">
        <v>3.97</v>
      </c>
      <c r="F297">
        <v>1.64</v>
      </c>
      <c r="G297">
        <v>4.84</v>
      </c>
      <c r="H297">
        <f>IF(AND(fotowoltaika[[#This Row],[st_zach]]&lt;=D296,fotowoltaika[[#This Row],[produkcja]]&gt;=E296),1,0)</f>
        <v>0</v>
      </c>
      <c r="I297">
        <f>(I296+fotowoltaika[[#This Row],[czy_st_nie_wzrastal]])*fotowoltaika[[#This Row],[czy_st_nie_wzrastal]]</f>
        <v>0</v>
      </c>
      <c r="J297" s="4">
        <f>HOUR(fotowoltaika[[#This Row],[zach]]-fotowoltaika[[#This Row],[wsch]])</f>
        <v>10</v>
      </c>
      <c r="K297">
        <f>(K296+(0.8*fotowoltaika[[#This Row],[oddanie]])-(fotowoltaika[[#This Row],[pobranie]]))</f>
        <v>526.17600000000061</v>
      </c>
      <c r="L297">
        <f>IF(fotowoltaika[[#This Row],[Saldo]]&lt;50,1,0)</f>
        <v>0</v>
      </c>
      <c r="M297">
        <f>IF(fotowoltaika[[#This Row],[Saldo]]&lt;0,1,0)</f>
        <v>0</v>
      </c>
    </row>
    <row r="298" spans="1:13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>IF(AND(fotowoltaika[[#This Row],[st_zach]]&lt;=D297,fotowoltaika[[#This Row],[produkcja]]&gt;=E297),1,0)</f>
        <v>1</v>
      </c>
      <c r="I298">
        <f>(I297+fotowoltaika[[#This Row],[czy_st_nie_wzrastal]])*fotowoltaika[[#This Row],[czy_st_nie_wzrastal]]</f>
        <v>1</v>
      </c>
      <c r="J298" s="4">
        <f>HOUR(fotowoltaika[[#This Row],[zach]]-fotowoltaika[[#This Row],[wsch]])</f>
        <v>10</v>
      </c>
      <c r="K298">
        <f>(K297+(0.8*fotowoltaika[[#This Row],[oddanie]])-(fotowoltaika[[#This Row],[pobranie]]))</f>
        <v>527.59600000000069</v>
      </c>
      <c r="L298">
        <f>IF(fotowoltaika[[#This Row],[Saldo]]&lt;50,1,0)</f>
        <v>0</v>
      </c>
      <c r="M298">
        <f>IF(fotowoltaika[[#This Row],[Saldo]]&lt;0,1,0)</f>
        <v>0</v>
      </c>
    </row>
    <row r="299" spans="1:13" x14ac:dyDescent="0.3">
      <c r="A299" s="1">
        <v>44859</v>
      </c>
      <c r="B299" s="2">
        <v>0.30349537037037039</v>
      </c>
      <c r="C299" s="2">
        <v>0.72437499999999999</v>
      </c>
      <c r="D299">
        <v>4</v>
      </c>
      <c r="E299">
        <v>4.58</v>
      </c>
      <c r="F299">
        <v>2.5299999999999998</v>
      </c>
      <c r="G299">
        <v>4.57</v>
      </c>
      <c r="H299">
        <f>IF(AND(fotowoltaika[[#This Row],[st_zach]]&lt;=D298,fotowoltaika[[#This Row],[produkcja]]&gt;=E298),1,0)</f>
        <v>0</v>
      </c>
      <c r="I299">
        <f>(I298+fotowoltaika[[#This Row],[czy_st_nie_wzrastal]])*fotowoltaika[[#This Row],[czy_st_nie_wzrastal]]</f>
        <v>0</v>
      </c>
      <c r="J299" s="4">
        <f>HOUR(fotowoltaika[[#This Row],[zach]]-fotowoltaika[[#This Row],[wsch]])</f>
        <v>10</v>
      </c>
      <c r="K299">
        <f>(K298+(0.8*fotowoltaika[[#This Row],[oddanie]])-(fotowoltaika[[#This Row],[pobranie]]))</f>
        <v>525.05000000000064</v>
      </c>
      <c r="L299">
        <f>IF(fotowoltaika[[#This Row],[Saldo]]&lt;50,1,0)</f>
        <v>0</v>
      </c>
      <c r="M299">
        <f>IF(fotowoltaika[[#This Row],[Saldo]]&lt;0,1,0)</f>
        <v>0</v>
      </c>
    </row>
    <row r="300" spans="1:13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>IF(AND(fotowoltaika[[#This Row],[st_zach]]&lt;=D299,fotowoltaika[[#This Row],[produkcja]]&gt;=E299),1,0)</f>
        <v>0</v>
      </c>
      <c r="I300">
        <f>(I299+fotowoltaika[[#This Row],[czy_st_nie_wzrastal]])*fotowoltaika[[#This Row],[czy_st_nie_wzrastal]]</f>
        <v>0</v>
      </c>
      <c r="J300" s="4">
        <f>HOUR(fotowoltaika[[#This Row],[zach]]-fotowoltaika[[#This Row],[wsch]])</f>
        <v>10</v>
      </c>
      <c r="K300">
        <f>(K299+(0.8*fotowoltaika[[#This Row],[oddanie]])-(fotowoltaika[[#This Row],[pobranie]]))</f>
        <v>522.05800000000056</v>
      </c>
      <c r="L300">
        <f>IF(fotowoltaika[[#This Row],[Saldo]]&lt;50,1,0)</f>
        <v>0</v>
      </c>
      <c r="M300">
        <f>IF(fotowoltaika[[#This Row],[Saldo]]&lt;0,1,0)</f>
        <v>0</v>
      </c>
    </row>
    <row r="301" spans="1:13" x14ac:dyDescent="0.3">
      <c r="A301" s="1">
        <v>44861</v>
      </c>
      <c r="B301" s="2">
        <v>0.30599537037037039</v>
      </c>
      <c r="C301" s="2">
        <v>0.72159722222222222</v>
      </c>
      <c r="D301">
        <v>1</v>
      </c>
      <c r="E301">
        <v>8.7799999999999994</v>
      </c>
      <c r="F301">
        <v>2.09</v>
      </c>
      <c r="G301">
        <v>1.58</v>
      </c>
      <c r="H301">
        <f>IF(AND(fotowoltaika[[#This Row],[st_zach]]&lt;=D300,fotowoltaika[[#This Row],[produkcja]]&gt;=E300),1,0)</f>
        <v>1</v>
      </c>
      <c r="I301">
        <f>(I300+fotowoltaika[[#This Row],[czy_st_nie_wzrastal]])*fotowoltaika[[#This Row],[czy_st_nie_wzrastal]]</f>
        <v>1</v>
      </c>
      <c r="J301" s="4">
        <f>HOUR(fotowoltaika[[#This Row],[zach]]-fotowoltaika[[#This Row],[wsch]])</f>
        <v>9</v>
      </c>
      <c r="K301">
        <f>(K300+(0.8*fotowoltaika[[#This Row],[oddanie]])-(fotowoltaika[[#This Row],[pobranie]]))</f>
        <v>522.15000000000055</v>
      </c>
      <c r="L301">
        <f>IF(fotowoltaika[[#This Row],[Saldo]]&lt;50,1,0)</f>
        <v>0</v>
      </c>
      <c r="M301">
        <f>IF(fotowoltaika[[#This Row],[Saldo]]&lt;0,1,0)</f>
        <v>0</v>
      </c>
    </row>
    <row r="302" spans="1:13" x14ac:dyDescent="0.3">
      <c r="A302" s="1">
        <v>44862</v>
      </c>
      <c r="B302" s="2">
        <v>0.30724537037037036</v>
      </c>
      <c r="C302" s="2">
        <v>0.72023148148148153</v>
      </c>
      <c r="D302">
        <v>1</v>
      </c>
      <c r="E302">
        <v>8.06</v>
      </c>
      <c r="F302">
        <v>1.98</v>
      </c>
      <c r="G302">
        <v>1.08</v>
      </c>
      <c r="H302">
        <f>IF(AND(fotowoltaika[[#This Row],[st_zach]]&lt;=D301,fotowoltaika[[#This Row],[produkcja]]&gt;=E301),1,0)</f>
        <v>0</v>
      </c>
      <c r="I302">
        <f>(I301+fotowoltaika[[#This Row],[czy_st_nie_wzrastal]])*fotowoltaika[[#This Row],[czy_st_nie_wzrastal]]</f>
        <v>0</v>
      </c>
      <c r="J302" s="4">
        <f>HOUR(fotowoltaika[[#This Row],[zach]]-fotowoltaika[[#This Row],[wsch]])</f>
        <v>9</v>
      </c>
      <c r="K302">
        <f>(K301+(0.8*fotowoltaika[[#This Row],[oddanie]])-(fotowoltaika[[#This Row],[pobranie]]))</f>
        <v>522.65400000000045</v>
      </c>
      <c r="L302">
        <f>IF(fotowoltaika[[#This Row],[Saldo]]&lt;50,1,0)</f>
        <v>0</v>
      </c>
      <c r="M302">
        <f>IF(fotowoltaika[[#This Row],[Saldo]]&lt;0,1,0)</f>
        <v>0</v>
      </c>
    </row>
    <row r="303" spans="1:13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>IF(AND(fotowoltaika[[#This Row],[st_zach]]&lt;=D302,fotowoltaika[[#This Row],[produkcja]]&gt;=E302),1,0)</f>
        <v>0</v>
      </c>
      <c r="I303">
        <f>(I302+fotowoltaika[[#This Row],[czy_st_nie_wzrastal]])*fotowoltaika[[#This Row],[czy_st_nie_wzrastal]]</f>
        <v>0</v>
      </c>
      <c r="J303" s="4">
        <f>HOUR(fotowoltaika[[#This Row],[zach]]-fotowoltaika[[#This Row],[wsch]])</f>
        <v>9</v>
      </c>
      <c r="K303">
        <f>(K302+(0.8*fotowoltaika[[#This Row],[oddanie]])-(fotowoltaika[[#This Row],[pobranie]]))</f>
        <v>522.60600000000045</v>
      </c>
      <c r="L303">
        <f>IF(fotowoltaika[[#This Row],[Saldo]]&lt;50,1,0)</f>
        <v>0</v>
      </c>
      <c r="M303">
        <f>IF(fotowoltaika[[#This Row],[Saldo]]&lt;0,1,0)</f>
        <v>0</v>
      </c>
    </row>
    <row r="304" spans="1:13" x14ac:dyDescent="0.3">
      <c r="A304" s="1">
        <v>44864</v>
      </c>
      <c r="B304" s="2">
        <v>0.26807870370370368</v>
      </c>
      <c r="C304" s="2">
        <v>0.67587962962962966</v>
      </c>
      <c r="D304">
        <v>3</v>
      </c>
      <c r="E304">
        <v>5.33</v>
      </c>
      <c r="F304">
        <v>2.98</v>
      </c>
      <c r="G304">
        <v>3.05</v>
      </c>
      <c r="H304">
        <f>IF(AND(fotowoltaika[[#This Row],[st_zach]]&lt;=D303,fotowoltaika[[#This Row],[produkcja]]&gt;=E303),1,0)</f>
        <v>1</v>
      </c>
      <c r="I304">
        <f>(I303+fotowoltaika[[#This Row],[czy_st_nie_wzrastal]])*fotowoltaika[[#This Row],[czy_st_nie_wzrastal]]</f>
        <v>1</v>
      </c>
      <c r="J304" s="4">
        <f>HOUR(fotowoltaika[[#This Row],[zach]]-fotowoltaika[[#This Row],[wsch]])</f>
        <v>9</v>
      </c>
      <c r="K304">
        <f>(K303+(0.8*fotowoltaika[[#This Row],[oddanie]])-(fotowoltaika[[#This Row],[pobranie]]))</f>
        <v>521.94000000000051</v>
      </c>
      <c r="L304">
        <f>IF(fotowoltaika[[#This Row],[Saldo]]&lt;50,1,0)</f>
        <v>0</v>
      </c>
      <c r="M304">
        <f>IF(fotowoltaika[[#This Row],[Saldo]]&lt;0,1,0)</f>
        <v>0</v>
      </c>
    </row>
    <row r="305" spans="1:13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>IF(AND(fotowoltaika[[#This Row],[st_zach]]&lt;=D304,fotowoltaika[[#This Row],[produkcja]]&gt;=E304),1,0)</f>
        <v>0</v>
      </c>
      <c r="I305">
        <f>(I304+fotowoltaika[[#This Row],[czy_st_nie_wzrastal]])*fotowoltaika[[#This Row],[czy_st_nie_wzrastal]]</f>
        <v>0</v>
      </c>
      <c r="J305" s="4">
        <f>HOUR(fotowoltaika[[#This Row],[zach]]-fotowoltaika[[#This Row],[wsch]])</f>
        <v>9</v>
      </c>
      <c r="K305">
        <f>(K304+(0.8*fotowoltaika[[#This Row],[oddanie]])-(fotowoltaika[[#This Row],[pobranie]]))</f>
        <v>519.06600000000049</v>
      </c>
      <c r="L305">
        <f>IF(fotowoltaika[[#This Row],[Saldo]]&lt;50,1,0)</f>
        <v>0</v>
      </c>
      <c r="M305">
        <f>IF(fotowoltaika[[#This Row],[Saldo]]&lt;0,1,0)</f>
        <v>0</v>
      </c>
    </row>
    <row r="306" spans="1:13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>IF(AND(fotowoltaika[[#This Row],[st_zach]]&lt;=D305,fotowoltaika[[#This Row],[produkcja]]&gt;=E305),1,0)</f>
        <v>0</v>
      </c>
      <c r="I306">
        <f>(I305+fotowoltaika[[#This Row],[czy_st_nie_wzrastal]])*fotowoltaika[[#This Row],[czy_st_nie_wzrastal]]</f>
        <v>0</v>
      </c>
      <c r="J306" s="4">
        <f>HOUR(fotowoltaika[[#This Row],[zach]]-fotowoltaika[[#This Row],[wsch]])</f>
        <v>9</v>
      </c>
      <c r="K306">
        <f>(K305+(0.8*fotowoltaika[[#This Row],[oddanie]])-(fotowoltaika[[#This Row],[pobranie]]))</f>
        <v>514.44200000000046</v>
      </c>
      <c r="L306">
        <f>IF(fotowoltaika[[#This Row],[Saldo]]&lt;50,1,0)</f>
        <v>0</v>
      </c>
      <c r="M306">
        <f>IF(fotowoltaika[[#This Row],[Saldo]]&lt;0,1,0)</f>
        <v>0</v>
      </c>
    </row>
    <row r="307" spans="1:13" x14ac:dyDescent="0.3">
      <c r="A307" s="1">
        <v>44867</v>
      </c>
      <c r="B307" s="2">
        <v>0.27184027777777775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>IF(AND(fotowoltaika[[#This Row],[st_zach]]&lt;=D306,fotowoltaika[[#This Row],[produkcja]]&gt;=E306),1,0)</f>
        <v>1</v>
      </c>
      <c r="I307">
        <f>(I306+fotowoltaika[[#This Row],[czy_st_nie_wzrastal]])*fotowoltaika[[#This Row],[czy_st_nie_wzrastal]]</f>
        <v>1</v>
      </c>
      <c r="J307" s="4">
        <f>HOUR(fotowoltaika[[#This Row],[zach]]-fotowoltaika[[#This Row],[wsch]])</f>
        <v>9</v>
      </c>
      <c r="K307">
        <f>(K306+(0.8*fotowoltaika[[#This Row],[oddanie]])-(fotowoltaika[[#This Row],[pobranie]]))</f>
        <v>514.94800000000043</v>
      </c>
      <c r="L307">
        <f>IF(fotowoltaika[[#This Row],[Saldo]]&lt;50,1,0)</f>
        <v>0</v>
      </c>
      <c r="M307">
        <f>IF(fotowoltaika[[#This Row],[Saldo]]&lt;0,1,0)</f>
        <v>0</v>
      </c>
    </row>
    <row r="308" spans="1:13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>IF(AND(fotowoltaika[[#This Row],[st_zach]]&lt;=D307,fotowoltaika[[#This Row],[produkcja]]&gt;=E307),1,0)</f>
        <v>0</v>
      </c>
      <c r="I308">
        <f>(I307+fotowoltaika[[#This Row],[czy_st_nie_wzrastal]])*fotowoltaika[[#This Row],[czy_st_nie_wzrastal]]</f>
        <v>0</v>
      </c>
      <c r="J308" s="4">
        <f>HOUR(fotowoltaika[[#This Row],[zach]]-fotowoltaika[[#This Row],[wsch]])</f>
        <v>9</v>
      </c>
      <c r="K308">
        <f>(K307+(0.8*fotowoltaika[[#This Row],[oddanie]])-(fotowoltaika[[#This Row],[pobranie]]))</f>
        <v>511.53000000000048</v>
      </c>
      <c r="L308">
        <f>IF(fotowoltaika[[#This Row],[Saldo]]&lt;50,1,0)</f>
        <v>0</v>
      </c>
      <c r="M308">
        <f>IF(fotowoltaika[[#This Row],[Saldo]]&lt;0,1,0)</f>
        <v>0</v>
      </c>
    </row>
    <row r="309" spans="1:13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>IF(AND(fotowoltaika[[#This Row],[st_zach]]&lt;=D308,fotowoltaika[[#This Row],[produkcja]]&gt;=E308),1,0)</f>
        <v>1</v>
      </c>
      <c r="I309">
        <f>(I308+fotowoltaika[[#This Row],[czy_st_nie_wzrastal]])*fotowoltaika[[#This Row],[czy_st_nie_wzrastal]]</f>
        <v>1</v>
      </c>
      <c r="J309" s="4">
        <f>HOUR(fotowoltaika[[#This Row],[zach]]-fotowoltaika[[#This Row],[wsch]])</f>
        <v>9</v>
      </c>
      <c r="K309">
        <f>(K308+(0.8*fotowoltaika[[#This Row],[oddanie]])-(fotowoltaika[[#This Row],[pobranie]]))</f>
        <v>510.23200000000048</v>
      </c>
      <c r="L309">
        <f>IF(fotowoltaika[[#This Row],[Saldo]]&lt;50,1,0)</f>
        <v>0</v>
      </c>
      <c r="M309">
        <f>IF(fotowoltaika[[#This Row],[Saldo]]&lt;0,1,0)</f>
        <v>0</v>
      </c>
    </row>
    <row r="310" spans="1:13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>IF(AND(fotowoltaika[[#This Row],[st_zach]]&lt;=D309,fotowoltaika[[#This Row],[produkcja]]&gt;=E309),1,0)</f>
        <v>1</v>
      </c>
      <c r="I310">
        <f>(I309+fotowoltaika[[#This Row],[czy_st_nie_wzrastal]])*fotowoltaika[[#This Row],[czy_st_nie_wzrastal]]</f>
        <v>2</v>
      </c>
      <c r="J310" s="4">
        <f>HOUR(fotowoltaika[[#This Row],[zach]]-fotowoltaika[[#This Row],[wsch]])</f>
        <v>9</v>
      </c>
      <c r="K310">
        <f>(K309+(0.8*fotowoltaika[[#This Row],[oddanie]])-(fotowoltaika[[#This Row],[pobranie]]))</f>
        <v>507.83200000000051</v>
      </c>
      <c r="L310">
        <f>IF(fotowoltaika[[#This Row],[Saldo]]&lt;50,1,0)</f>
        <v>0</v>
      </c>
      <c r="M310">
        <f>IF(fotowoltaika[[#This Row],[Saldo]]&lt;0,1,0)</f>
        <v>0</v>
      </c>
    </row>
    <row r="311" spans="1:13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>IF(AND(fotowoltaika[[#This Row],[st_zach]]&lt;=D310,fotowoltaika[[#This Row],[produkcja]]&gt;=E310),1,0)</f>
        <v>1</v>
      </c>
      <c r="I311">
        <f>(I310+fotowoltaika[[#This Row],[czy_st_nie_wzrastal]])*fotowoltaika[[#This Row],[czy_st_nie_wzrastal]]</f>
        <v>3</v>
      </c>
      <c r="J311" s="4">
        <f>HOUR(fotowoltaika[[#This Row],[zach]]-fotowoltaika[[#This Row],[wsch]])</f>
        <v>9</v>
      </c>
      <c r="K311">
        <f>(K310+(0.8*fotowoltaika[[#This Row],[oddanie]])-(fotowoltaika[[#This Row],[pobranie]]))</f>
        <v>507.25400000000053</v>
      </c>
      <c r="L311">
        <f>IF(fotowoltaika[[#This Row],[Saldo]]&lt;50,1,0)</f>
        <v>0</v>
      </c>
      <c r="M311">
        <f>IF(fotowoltaika[[#This Row],[Saldo]]&lt;0,1,0)</f>
        <v>0</v>
      </c>
    </row>
    <row r="312" spans="1:13" x14ac:dyDescent="0.3">
      <c r="A312" s="1">
        <v>44872</v>
      </c>
      <c r="B312" s="2">
        <v>0.27810185185185188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>IF(AND(fotowoltaika[[#This Row],[st_zach]]&lt;=D311,fotowoltaika[[#This Row],[produkcja]]&gt;=E311),1,0)</f>
        <v>0</v>
      </c>
      <c r="I312">
        <f>(I311+fotowoltaika[[#This Row],[czy_st_nie_wzrastal]])*fotowoltaika[[#This Row],[czy_st_nie_wzrastal]]</f>
        <v>0</v>
      </c>
      <c r="J312" s="4">
        <f>HOUR(fotowoltaika[[#This Row],[zach]]-fotowoltaika[[#This Row],[wsch]])</f>
        <v>9</v>
      </c>
      <c r="K312">
        <f>(K311+(0.8*fotowoltaika[[#This Row],[oddanie]])-(fotowoltaika[[#This Row],[pobranie]]))</f>
        <v>506.3420000000005</v>
      </c>
      <c r="L312">
        <f>IF(fotowoltaika[[#This Row],[Saldo]]&lt;50,1,0)</f>
        <v>0</v>
      </c>
      <c r="M312">
        <f>IF(fotowoltaika[[#This Row],[Saldo]]&lt;0,1,0)</f>
        <v>0</v>
      </c>
    </row>
    <row r="313" spans="1:13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>IF(AND(fotowoltaika[[#This Row],[st_zach]]&lt;=D312,fotowoltaika[[#This Row],[produkcja]]&gt;=E312),1,0)</f>
        <v>1</v>
      </c>
      <c r="I313">
        <f>(I312+fotowoltaika[[#This Row],[czy_st_nie_wzrastal]])*fotowoltaika[[#This Row],[czy_st_nie_wzrastal]]</f>
        <v>1</v>
      </c>
      <c r="J313" s="4">
        <f>HOUR(fotowoltaika[[#This Row],[zach]]-fotowoltaika[[#This Row],[wsch]])</f>
        <v>9</v>
      </c>
      <c r="K313">
        <f>(K312+(0.8*fotowoltaika[[#This Row],[oddanie]])-(fotowoltaika[[#This Row],[pobranie]]))</f>
        <v>505.1160000000005</v>
      </c>
      <c r="L313">
        <f>IF(fotowoltaika[[#This Row],[Saldo]]&lt;50,1,0)</f>
        <v>0</v>
      </c>
      <c r="M313">
        <f>IF(fotowoltaika[[#This Row],[Saldo]]&lt;0,1,0)</f>
        <v>0</v>
      </c>
    </row>
    <row r="314" spans="1:13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>IF(AND(fotowoltaika[[#This Row],[st_zach]]&lt;=D313,fotowoltaika[[#This Row],[produkcja]]&gt;=E313),1,0)</f>
        <v>0</v>
      </c>
      <c r="I314">
        <f>(I313+fotowoltaika[[#This Row],[czy_st_nie_wzrastal]])*fotowoltaika[[#This Row],[czy_st_nie_wzrastal]]</f>
        <v>0</v>
      </c>
      <c r="J314" s="4">
        <f>HOUR(fotowoltaika[[#This Row],[zach]]-fotowoltaika[[#This Row],[wsch]])</f>
        <v>9</v>
      </c>
      <c r="K314">
        <f>(K313+(0.8*fotowoltaika[[#This Row],[oddanie]])-(fotowoltaika[[#This Row],[pobranie]]))</f>
        <v>503.47600000000051</v>
      </c>
      <c r="L314">
        <f>IF(fotowoltaika[[#This Row],[Saldo]]&lt;50,1,0)</f>
        <v>0</v>
      </c>
      <c r="M314">
        <f>IF(fotowoltaika[[#This Row],[Saldo]]&lt;0,1,0)</f>
        <v>0</v>
      </c>
    </row>
    <row r="315" spans="1:13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>IF(AND(fotowoltaika[[#This Row],[st_zach]]&lt;=D314,fotowoltaika[[#This Row],[produkcja]]&gt;=E314),1,0)</f>
        <v>1</v>
      </c>
      <c r="I315">
        <f>(I314+fotowoltaika[[#This Row],[czy_st_nie_wzrastal]])*fotowoltaika[[#This Row],[czy_st_nie_wzrastal]]</f>
        <v>1</v>
      </c>
      <c r="J315" s="4">
        <f>HOUR(fotowoltaika[[#This Row],[zach]]-fotowoltaika[[#This Row],[wsch]])</f>
        <v>9</v>
      </c>
      <c r="K315">
        <f>(K314+(0.8*fotowoltaika[[#This Row],[oddanie]])-(fotowoltaika[[#This Row],[pobranie]]))</f>
        <v>504.58400000000051</v>
      </c>
      <c r="L315">
        <f>IF(fotowoltaika[[#This Row],[Saldo]]&lt;50,1,0)</f>
        <v>0</v>
      </c>
      <c r="M315">
        <f>IF(fotowoltaika[[#This Row],[Saldo]]&lt;0,1,0)</f>
        <v>0</v>
      </c>
    </row>
    <row r="316" spans="1:13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>IF(AND(fotowoltaika[[#This Row],[st_zach]]&lt;=D315,fotowoltaika[[#This Row],[produkcja]]&gt;=E315),1,0)</f>
        <v>0</v>
      </c>
      <c r="I316">
        <f>(I315+fotowoltaika[[#This Row],[czy_st_nie_wzrastal]])*fotowoltaika[[#This Row],[czy_st_nie_wzrastal]]</f>
        <v>0</v>
      </c>
      <c r="J316" s="4">
        <f>HOUR(fotowoltaika[[#This Row],[zach]]-fotowoltaika[[#This Row],[wsch]])</f>
        <v>9</v>
      </c>
      <c r="K316">
        <f>(K315+(0.8*fotowoltaika[[#This Row],[oddanie]])-(fotowoltaika[[#This Row],[pobranie]]))</f>
        <v>502.73600000000056</v>
      </c>
      <c r="L316">
        <f>IF(fotowoltaika[[#This Row],[Saldo]]&lt;50,1,0)</f>
        <v>0</v>
      </c>
      <c r="M316">
        <f>IF(fotowoltaika[[#This Row],[Saldo]]&lt;0,1,0)</f>
        <v>0</v>
      </c>
    </row>
    <row r="317" spans="1:13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>IF(AND(fotowoltaika[[#This Row],[st_zach]]&lt;=D316,fotowoltaika[[#This Row],[produkcja]]&gt;=E316),1,0)</f>
        <v>0</v>
      </c>
      <c r="I317">
        <f>(I316+fotowoltaika[[#This Row],[czy_st_nie_wzrastal]])*fotowoltaika[[#This Row],[czy_st_nie_wzrastal]]</f>
        <v>0</v>
      </c>
      <c r="J317" s="4">
        <f>HOUR(fotowoltaika[[#This Row],[zach]]-fotowoltaika[[#This Row],[wsch]])</f>
        <v>9</v>
      </c>
      <c r="K317">
        <f>(K316+(0.8*fotowoltaika[[#This Row],[oddanie]])-(fotowoltaika[[#This Row],[pobranie]]))</f>
        <v>500.43800000000056</v>
      </c>
      <c r="L317">
        <f>IF(fotowoltaika[[#This Row],[Saldo]]&lt;50,1,0)</f>
        <v>0</v>
      </c>
      <c r="M317">
        <f>IF(fotowoltaika[[#This Row],[Saldo]]&lt;0,1,0)</f>
        <v>0</v>
      </c>
    </row>
    <row r="318" spans="1:13" x14ac:dyDescent="0.3">
      <c r="A318" s="1">
        <v>44878</v>
      </c>
      <c r="B318" s="2">
        <v>0.28554398148148147</v>
      </c>
      <c r="C318" s="2">
        <v>0.65925925925925921</v>
      </c>
      <c r="D318">
        <v>3</v>
      </c>
      <c r="E318">
        <v>4.16</v>
      </c>
      <c r="F318">
        <v>3.02</v>
      </c>
      <c r="G318">
        <v>4.1900000000000004</v>
      </c>
      <c r="H318">
        <f>IF(AND(fotowoltaika[[#This Row],[st_zach]]&lt;=D317,fotowoltaika[[#This Row],[produkcja]]&gt;=E317),1,0)</f>
        <v>0</v>
      </c>
      <c r="I318">
        <f>(I317+fotowoltaika[[#This Row],[czy_st_nie_wzrastal]])*fotowoltaika[[#This Row],[czy_st_nie_wzrastal]]</f>
        <v>0</v>
      </c>
      <c r="J318" s="4">
        <f>HOUR(fotowoltaika[[#This Row],[zach]]-fotowoltaika[[#This Row],[wsch]])</f>
        <v>8</v>
      </c>
      <c r="K318">
        <f>(K317+(0.8*fotowoltaika[[#This Row],[oddanie]])-(fotowoltaika[[#This Row],[pobranie]]))</f>
        <v>498.66400000000056</v>
      </c>
      <c r="L318">
        <f>IF(fotowoltaika[[#This Row],[Saldo]]&lt;50,1,0)</f>
        <v>0</v>
      </c>
      <c r="M318">
        <f>IF(fotowoltaika[[#This Row],[Saldo]]&lt;0,1,0)</f>
        <v>0</v>
      </c>
    </row>
    <row r="319" spans="1:13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>IF(AND(fotowoltaika[[#This Row],[st_zach]]&lt;=D318,fotowoltaika[[#This Row],[produkcja]]&gt;=E318),1,0)</f>
        <v>1</v>
      </c>
      <c r="I319">
        <f>(I318+fotowoltaika[[#This Row],[czy_st_nie_wzrastal]])*fotowoltaika[[#This Row],[czy_st_nie_wzrastal]]</f>
        <v>1</v>
      </c>
      <c r="J319" s="4">
        <f>HOUR(fotowoltaika[[#This Row],[zach]]-fotowoltaika[[#This Row],[wsch]])</f>
        <v>8</v>
      </c>
      <c r="K319">
        <f>(K318+(0.8*fotowoltaika[[#This Row],[oddanie]])-(fotowoltaika[[#This Row],[pobranie]]))</f>
        <v>496.07600000000053</v>
      </c>
      <c r="L319">
        <f>IF(fotowoltaika[[#This Row],[Saldo]]&lt;50,1,0)</f>
        <v>0</v>
      </c>
      <c r="M319">
        <f>IF(fotowoltaika[[#This Row],[Saldo]]&lt;0,1,0)</f>
        <v>0</v>
      </c>
    </row>
    <row r="320" spans="1:13" x14ac:dyDescent="0.3">
      <c r="A320" s="1">
        <v>44880</v>
      </c>
      <c r="B320" s="2">
        <v>0.28797453703703701</v>
      </c>
      <c r="C320" s="2">
        <v>0.65725694444444449</v>
      </c>
      <c r="D320">
        <v>8</v>
      </c>
      <c r="E320">
        <v>1.38</v>
      </c>
      <c r="F320">
        <v>0.4</v>
      </c>
      <c r="G320">
        <v>6.48</v>
      </c>
      <c r="H320">
        <f>IF(AND(fotowoltaika[[#This Row],[st_zach]]&lt;=D319,fotowoltaika[[#This Row],[produkcja]]&gt;=E319),1,0)</f>
        <v>0</v>
      </c>
      <c r="I320">
        <f>(I319+fotowoltaika[[#This Row],[czy_st_nie_wzrastal]])*fotowoltaika[[#This Row],[czy_st_nie_wzrastal]]</f>
        <v>0</v>
      </c>
      <c r="J320" s="4">
        <f>HOUR(fotowoltaika[[#This Row],[zach]]-fotowoltaika[[#This Row],[wsch]])</f>
        <v>8</v>
      </c>
      <c r="K320">
        <f>(K319+(0.8*fotowoltaika[[#This Row],[oddanie]])-(fotowoltaika[[#This Row],[pobranie]]))</f>
        <v>489.91600000000051</v>
      </c>
      <c r="L320">
        <f>IF(fotowoltaika[[#This Row],[Saldo]]&lt;50,1,0)</f>
        <v>0</v>
      </c>
      <c r="M320">
        <f>IF(fotowoltaika[[#This Row],[Saldo]]&lt;0,1,0)</f>
        <v>0</v>
      </c>
    </row>
    <row r="321" spans="1:13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>IF(AND(fotowoltaika[[#This Row],[st_zach]]&lt;=D320,fotowoltaika[[#This Row],[produkcja]]&gt;=E320),1,0)</f>
        <v>1</v>
      </c>
      <c r="I321">
        <f>(I320+fotowoltaika[[#This Row],[czy_st_nie_wzrastal]])*fotowoltaika[[#This Row],[czy_st_nie_wzrastal]]</f>
        <v>1</v>
      </c>
      <c r="J321" s="4">
        <f>HOUR(fotowoltaika[[#This Row],[zach]]-fotowoltaika[[#This Row],[wsch]])</f>
        <v>8</v>
      </c>
      <c r="K321">
        <f>(K320+(0.8*fotowoltaika[[#This Row],[oddanie]])-(fotowoltaika[[#This Row],[pobranie]]))</f>
        <v>486.15000000000055</v>
      </c>
      <c r="L321">
        <f>IF(fotowoltaika[[#This Row],[Saldo]]&lt;50,1,0)</f>
        <v>0</v>
      </c>
      <c r="M321">
        <f>IF(fotowoltaika[[#This Row],[Saldo]]&lt;0,1,0)</f>
        <v>0</v>
      </c>
    </row>
    <row r="322" spans="1:13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>IF(AND(fotowoltaika[[#This Row],[st_zach]]&lt;=D321,fotowoltaika[[#This Row],[produkcja]]&gt;=E321),1,0)</f>
        <v>1</v>
      </c>
      <c r="I322">
        <f>(I321+fotowoltaika[[#This Row],[czy_st_nie_wzrastal]])*fotowoltaika[[#This Row],[czy_st_nie_wzrastal]]</f>
        <v>2</v>
      </c>
      <c r="J322" s="4">
        <f>HOUR(fotowoltaika[[#This Row],[zach]]-fotowoltaika[[#This Row],[wsch]])</f>
        <v>8</v>
      </c>
      <c r="K322">
        <f>(K321+(0.8*fotowoltaika[[#This Row],[oddanie]])-(fotowoltaika[[#This Row],[pobranie]]))</f>
        <v>484.44600000000054</v>
      </c>
      <c r="L322">
        <f>IF(fotowoltaika[[#This Row],[Saldo]]&lt;50,1,0)</f>
        <v>0</v>
      </c>
      <c r="M322">
        <f>IF(fotowoltaika[[#This Row],[Saldo]]&lt;0,1,0)</f>
        <v>0</v>
      </c>
    </row>
    <row r="323" spans="1:13" x14ac:dyDescent="0.3">
      <c r="A323" s="1">
        <v>44883</v>
      </c>
      <c r="B323" s="2">
        <v>0.2915740740740741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>IF(AND(fotowoltaika[[#This Row],[st_zach]]&lt;=D322,fotowoltaika[[#This Row],[produkcja]]&gt;=E322),1,0)</f>
        <v>0</v>
      </c>
      <c r="I323">
        <f>(I322+fotowoltaika[[#This Row],[czy_st_nie_wzrastal]])*fotowoltaika[[#This Row],[czy_st_nie_wzrastal]]</f>
        <v>0</v>
      </c>
      <c r="J323" s="4">
        <f>HOUR(fotowoltaika[[#This Row],[zach]]-fotowoltaika[[#This Row],[wsch]])</f>
        <v>8</v>
      </c>
      <c r="K323">
        <f>(K322+(0.8*fotowoltaika[[#This Row],[oddanie]])-(fotowoltaika[[#This Row],[pobranie]]))</f>
        <v>482.67000000000058</v>
      </c>
      <c r="L323">
        <f>IF(fotowoltaika[[#This Row],[Saldo]]&lt;50,1,0)</f>
        <v>0</v>
      </c>
      <c r="M323">
        <f>IF(fotowoltaika[[#This Row],[Saldo]]&lt;0,1,0)</f>
        <v>0</v>
      </c>
    </row>
    <row r="324" spans="1:13" x14ac:dyDescent="0.3">
      <c r="A324" s="1">
        <v>44884</v>
      </c>
      <c r="B324" s="2">
        <v>0.29276620370370371</v>
      </c>
      <c r="C324" s="2">
        <v>0.65356481481481477</v>
      </c>
      <c r="D324">
        <v>5</v>
      </c>
      <c r="E324">
        <v>3.6</v>
      </c>
      <c r="F324">
        <v>2.06</v>
      </c>
      <c r="G324">
        <v>2.72</v>
      </c>
      <c r="H324">
        <f>IF(AND(fotowoltaika[[#This Row],[st_zach]]&lt;=D323,fotowoltaika[[#This Row],[produkcja]]&gt;=E323),1,0)</f>
        <v>0</v>
      </c>
      <c r="I324">
        <f>(I323+fotowoltaika[[#This Row],[czy_st_nie_wzrastal]])*fotowoltaika[[#This Row],[czy_st_nie_wzrastal]]</f>
        <v>0</v>
      </c>
      <c r="J324" s="4">
        <f>HOUR(fotowoltaika[[#This Row],[zach]]-fotowoltaika[[#This Row],[wsch]])</f>
        <v>8</v>
      </c>
      <c r="K324">
        <f>(K323+(0.8*fotowoltaika[[#This Row],[oddanie]])-(fotowoltaika[[#This Row],[pobranie]]))</f>
        <v>481.59800000000058</v>
      </c>
      <c r="L324">
        <f>IF(fotowoltaika[[#This Row],[Saldo]]&lt;50,1,0)</f>
        <v>0</v>
      </c>
      <c r="M324">
        <f>IF(fotowoltaika[[#This Row],[Saldo]]&lt;0,1,0)</f>
        <v>0</v>
      </c>
    </row>
    <row r="325" spans="1:13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>IF(AND(fotowoltaika[[#This Row],[st_zach]]&lt;=D324,fotowoltaika[[#This Row],[produkcja]]&gt;=E324),1,0)</f>
        <v>1</v>
      </c>
      <c r="I325">
        <f>(I324+fotowoltaika[[#This Row],[czy_st_nie_wzrastal]])*fotowoltaika[[#This Row],[czy_st_nie_wzrastal]]</f>
        <v>1</v>
      </c>
      <c r="J325" s="4">
        <f>HOUR(fotowoltaika[[#This Row],[zach]]-fotowoltaika[[#This Row],[wsch]])</f>
        <v>8</v>
      </c>
      <c r="K325">
        <f>(K324+(0.8*fotowoltaika[[#This Row],[oddanie]])-(fotowoltaika[[#This Row],[pobranie]]))</f>
        <v>481.71400000000057</v>
      </c>
      <c r="L325">
        <f>IF(fotowoltaika[[#This Row],[Saldo]]&lt;50,1,0)</f>
        <v>0</v>
      </c>
      <c r="M325">
        <f>IF(fotowoltaika[[#This Row],[Saldo]]&lt;0,1,0)</f>
        <v>0</v>
      </c>
    </row>
    <row r="326" spans="1:13" x14ac:dyDescent="0.3">
      <c r="A326" s="1">
        <v>44886</v>
      </c>
      <c r="B326" s="2">
        <v>0.29509259259259257</v>
      </c>
      <c r="C326" s="2">
        <v>0.65188657407407402</v>
      </c>
      <c r="D326">
        <v>5</v>
      </c>
      <c r="E326">
        <v>3.16</v>
      </c>
      <c r="F326">
        <v>2.11</v>
      </c>
      <c r="G326">
        <v>4.08</v>
      </c>
      <c r="H326">
        <f>IF(AND(fotowoltaika[[#This Row],[st_zach]]&lt;=D325,fotowoltaika[[#This Row],[produkcja]]&gt;=E325),1,0)</f>
        <v>0</v>
      </c>
      <c r="I326">
        <f>(I325+fotowoltaika[[#This Row],[czy_st_nie_wzrastal]])*fotowoltaika[[#This Row],[czy_st_nie_wzrastal]]</f>
        <v>0</v>
      </c>
      <c r="J326" s="4">
        <f>HOUR(fotowoltaika[[#This Row],[zach]]-fotowoltaika[[#This Row],[wsch]])</f>
        <v>8</v>
      </c>
      <c r="K326">
        <f>(K325+(0.8*fotowoltaika[[#This Row],[oddanie]])-(fotowoltaika[[#This Row],[pobranie]]))</f>
        <v>479.32200000000057</v>
      </c>
      <c r="L326">
        <f>IF(fotowoltaika[[#This Row],[Saldo]]&lt;50,1,0)</f>
        <v>0</v>
      </c>
      <c r="M326">
        <f>IF(fotowoltaika[[#This Row],[Saldo]]&lt;0,1,0)</f>
        <v>0</v>
      </c>
    </row>
    <row r="327" spans="1:13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>IF(AND(fotowoltaika[[#This Row],[st_zach]]&lt;=D326,fotowoltaika[[#This Row],[produkcja]]&gt;=E326),1,0)</f>
        <v>1</v>
      </c>
      <c r="I327">
        <f>(I326+fotowoltaika[[#This Row],[czy_st_nie_wzrastal]])*fotowoltaika[[#This Row],[czy_st_nie_wzrastal]]</f>
        <v>1</v>
      </c>
      <c r="J327" s="4">
        <f>HOUR(fotowoltaika[[#This Row],[zach]]-fotowoltaika[[#This Row],[wsch]])</f>
        <v>8</v>
      </c>
      <c r="K327">
        <f>(K326+(0.8*fotowoltaika[[#This Row],[oddanie]])-(fotowoltaika[[#This Row],[pobranie]]))</f>
        <v>477.44000000000057</v>
      </c>
      <c r="L327">
        <f>IF(fotowoltaika[[#This Row],[Saldo]]&lt;50,1,0)</f>
        <v>0</v>
      </c>
      <c r="M327">
        <f>IF(fotowoltaika[[#This Row],[Saldo]]&lt;0,1,0)</f>
        <v>0</v>
      </c>
    </row>
    <row r="328" spans="1:13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>IF(AND(fotowoltaika[[#This Row],[st_zach]]&lt;=D327,fotowoltaika[[#This Row],[produkcja]]&gt;=E327),1,0)</f>
        <v>0</v>
      </c>
      <c r="I328">
        <f>(I327+fotowoltaika[[#This Row],[czy_st_nie_wzrastal]])*fotowoltaika[[#This Row],[czy_st_nie_wzrastal]]</f>
        <v>0</v>
      </c>
      <c r="J328" s="4">
        <f>HOUR(fotowoltaika[[#This Row],[zach]]-fotowoltaika[[#This Row],[wsch]])</f>
        <v>8</v>
      </c>
      <c r="K328">
        <f>(K327+(0.8*fotowoltaika[[#This Row],[oddanie]])-(fotowoltaika[[#This Row],[pobranie]]))</f>
        <v>473.21800000000059</v>
      </c>
      <c r="L328">
        <f>IF(fotowoltaika[[#This Row],[Saldo]]&lt;50,1,0)</f>
        <v>0</v>
      </c>
      <c r="M328">
        <f>IF(fotowoltaika[[#This Row],[Saldo]]&lt;0,1,0)</f>
        <v>0</v>
      </c>
    </row>
    <row r="329" spans="1:13" x14ac:dyDescent="0.3">
      <c r="A329" s="1">
        <v>44889</v>
      </c>
      <c r="B329" s="2">
        <v>0.29849537037037038</v>
      </c>
      <c r="C329" s="2">
        <v>0.64961805555555552</v>
      </c>
      <c r="D329">
        <v>6</v>
      </c>
      <c r="E329">
        <v>3.18</v>
      </c>
      <c r="F329">
        <v>1.37</v>
      </c>
      <c r="G329">
        <v>4.16</v>
      </c>
      <c r="H329">
        <f>IF(AND(fotowoltaika[[#This Row],[st_zach]]&lt;=D328,fotowoltaika[[#This Row],[produkcja]]&gt;=E328),1,0)</f>
        <v>1</v>
      </c>
      <c r="I329">
        <f>(I328+fotowoltaika[[#This Row],[czy_st_nie_wzrastal]])*fotowoltaika[[#This Row],[czy_st_nie_wzrastal]]</f>
        <v>1</v>
      </c>
      <c r="J329" s="4">
        <f>HOUR(fotowoltaika[[#This Row],[zach]]-fotowoltaika[[#This Row],[wsch]])</f>
        <v>8</v>
      </c>
      <c r="K329">
        <f>(K328+(0.8*fotowoltaika[[#This Row],[oddanie]])-(fotowoltaika[[#This Row],[pobranie]]))</f>
        <v>470.15400000000056</v>
      </c>
      <c r="L329">
        <f>IF(fotowoltaika[[#This Row],[Saldo]]&lt;50,1,0)</f>
        <v>0</v>
      </c>
      <c r="M329">
        <f>IF(fotowoltaika[[#This Row],[Saldo]]&lt;0,1,0)</f>
        <v>0</v>
      </c>
    </row>
    <row r="330" spans="1:13" x14ac:dyDescent="0.3">
      <c r="A330" s="1">
        <v>44890</v>
      </c>
      <c r="B330" s="2">
        <v>0.2996064814814815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>IF(AND(fotowoltaika[[#This Row],[st_zach]]&lt;=D329,fotowoltaika[[#This Row],[produkcja]]&gt;=E329),1,0)</f>
        <v>0</v>
      </c>
      <c r="I330">
        <f>(I329+fotowoltaika[[#This Row],[czy_st_nie_wzrastal]])*fotowoltaika[[#This Row],[czy_st_nie_wzrastal]]</f>
        <v>0</v>
      </c>
      <c r="J330" s="4">
        <f>HOUR(fotowoltaika[[#This Row],[zach]]-fotowoltaika[[#This Row],[wsch]])</f>
        <v>8</v>
      </c>
      <c r="K330">
        <f>(K329+(0.8*fotowoltaika[[#This Row],[oddanie]])-(fotowoltaika[[#This Row],[pobranie]]))</f>
        <v>466.08200000000056</v>
      </c>
      <c r="L330">
        <f>IF(fotowoltaika[[#This Row],[Saldo]]&lt;50,1,0)</f>
        <v>0</v>
      </c>
      <c r="M330">
        <f>IF(fotowoltaika[[#This Row],[Saldo]]&lt;0,1,0)</f>
        <v>0</v>
      </c>
    </row>
    <row r="331" spans="1:13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>IF(AND(fotowoltaika[[#This Row],[st_zach]]&lt;=D330,fotowoltaika[[#This Row],[produkcja]]&gt;=E330),1,0)</f>
        <v>1</v>
      </c>
      <c r="I331">
        <f>(I330+fotowoltaika[[#This Row],[czy_st_nie_wzrastal]])*fotowoltaika[[#This Row],[czy_st_nie_wzrastal]]</f>
        <v>1</v>
      </c>
      <c r="J331" s="4">
        <f>HOUR(fotowoltaika[[#This Row],[zach]]-fotowoltaika[[#This Row],[wsch]])</f>
        <v>8</v>
      </c>
      <c r="K331">
        <f>(K330+(0.8*fotowoltaika[[#This Row],[oddanie]])-(fotowoltaika[[#This Row],[pobranie]]))</f>
        <v>460.93000000000058</v>
      </c>
      <c r="L331">
        <f>IF(fotowoltaika[[#This Row],[Saldo]]&lt;50,1,0)</f>
        <v>0</v>
      </c>
      <c r="M331">
        <f>IF(fotowoltaika[[#This Row],[Saldo]]&lt;0,1,0)</f>
        <v>0</v>
      </c>
    </row>
    <row r="332" spans="1:13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>IF(AND(fotowoltaika[[#This Row],[st_zach]]&lt;=D331,fotowoltaika[[#This Row],[produkcja]]&gt;=E331),1,0)</f>
        <v>0</v>
      </c>
      <c r="I332">
        <f>(I331+fotowoltaika[[#This Row],[czy_st_nie_wzrastal]])*fotowoltaika[[#This Row],[czy_st_nie_wzrastal]]</f>
        <v>0</v>
      </c>
      <c r="J332" s="4">
        <f>HOUR(fotowoltaika[[#This Row],[zach]]-fotowoltaika[[#This Row],[wsch]])</f>
        <v>8</v>
      </c>
      <c r="K332">
        <f>(K331+(0.8*fotowoltaika[[#This Row],[oddanie]])-(fotowoltaika[[#This Row],[pobranie]]))</f>
        <v>456.64600000000053</v>
      </c>
      <c r="L332">
        <f>IF(fotowoltaika[[#This Row],[Saldo]]&lt;50,1,0)</f>
        <v>0</v>
      </c>
      <c r="M332">
        <f>IF(fotowoltaika[[#This Row],[Saldo]]&lt;0,1,0)</f>
        <v>0</v>
      </c>
    </row>
    <row r="333" spans="1:13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>IF(AND(fotowoltaika[[#This Row],[st_zach]]&lt;=D332,fotowoltaika[[#This Row],[produkcja]]&gt;=E332),1,0)</f>
        <v>0</v>
      </c>
      <c r="I333">
        <f>(I332+fotowoltaika[[#This Row],[czy_st_nie_wzrastal]])*fotowoltaika[[#This Row],[czy_st_nie_wzrastal]]</f>
        <v>0</v>
      </c>
      <c r="J333" s="4">
        <f>HOUR(fotowoltaika[[#This Row],[zach]]-fotowoltaika[[#This Row],[wsch]])</f>
        <v>8</v>
      </c>
      <c r="K333">
        <f>(K332+(0.8*fotowoltaika[[#This Row],[oddanie]])-(fotowoltaika[[#This Row],[pobranie]]))</f>
        <v>452.00200000000052</v>
      </c>
      <c r="L333">
        <f>IF(fotowoltaika[[#This Row],[Saldo]]&lt;50,1,0)</f>
        <v>0</v>
      </c>
      <c r="M333">
        <f>IF(fotowoltaika[[#This Row],[Saldo]]&lt;0,1,0)</f>
        <v>0</v>
      </c>
    </row>
    <row r="334" spans="1:13" x14ac:dyDescent="0.3">
      <c r="A334" s="1">
        <v>44894</v>
      </c>
      <c r="B334" s="2">
        <v>0.30385416666666665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>IF(AND(fotowoltaika[[#This Row],[st_zach]]&lt;=D333,fotowoltaika[[#This Row],[produkcja]]&gt;=E333),1,0)</f>
        <v>0</v>
      </c>
      <c r="I334">
        <f>(I333+fotowoltaika[[#This Row],[czy_st_nie_wzrastal]])*fotowoltaika[[#This Row],[czy_st_nie_wzrastal]]</f>
        <v>0</v>
      </c>
      <c r="J334" s="4">
        <f>HOUR(fotowoltaika[[#This Row],[zach]]-fotowoltaika[[#This Row],[wsch]])</f>
        <v>8</v>
      </c>
      <c r="K334">
        <f>(K333+(0.8*fotowoltaika[[#This Row],[oddanie]])-(fotowoltaika[[#This Row],[pobranie]]))</f>
        <v>448.26800000000054</v>
      </c>
      <c r="L334">
        <f>IF(fotowoltaika[[#This Row],[Saldo]]&lt;50,1,0)</f>
        <v>0</v>
      </c>
      <c r="M334">
        <f>IF(fotowoltaika[[#This Row],[Saldo]]&lt;0,1,0)</f>
        <v>0</v>
      </c>
    </row>
    <row r="335" spans="1:13" x14ac:dyDescent="0.3">
      <c r="A335" s="1">
        <v>44895</v>
      </c>
      <c r="B335" s="2">
        <v>0.30487268518518518</v>
      </c>
      <c r="C335" s="2">
        <v>0.64597222222222217</v>
      </c>
      <c r="D335">
        <v>8</v>
      </c>
      <c r="E335">
        <v>1.1399999999999999</v>
      </c>
      <c r="F335">
        <v>0</v>
      </c>
      <c r="G335">
        <v>7.02</v>
      </c>
      <c r="H335">
        <f>IF(AND(fotowoltaika[[#This Row],[st_zach]]&lt;=D334,fotowoltaika[[#This Row],[produkcja]]&gt;=E334),1,0)</f>
        <v>0</v>
      </c>
      <c r="I335">
        <f>(I334+fotowoltaika[[#This Row],[czy_st_nie_wzrastal]])*fotowoltaika[[#This Row],[czy_st_nie_wzrastal]]</f>
        <v>0</v>
      </c>
      <c r="J335" s="4">
        <f>HOUR(fotowoltaika[[#This Row],[zach]]-fotowoltaika[[#This Row],[wsch]])</f>
        <v>8</v>
      </c>
      <c r="K335">
        <f>(K334+(0.8*fotowoltaika[[#This Row],[oddanie]])-(fotowoltaika[[#This Row],[pobranie]]))</f>
        <v>441.24800000000056</v>
      </c>
      <c r="L335">
        <f>IF(fotowoltaika[[#This Row],[Saldo]]&lt;50,1,0)</f>
        <v>0</v>
      </c>
      <c r="M335">
        <f>IF(fotowoltaika[[#This Row],[Saldo]]&lt;0,1,0)</f>
        <v>0</v>
      </c>
    </row>
    <row r="336" spans="1:13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>IF(AND(fotowoltaika[[#This Row],[st_zach]]&lt;=D335,fotowoltaika[[#This Row],[produkcja]]&gt;=E335),1,0)</f>
        <v>1</v>
      </c>
      <c r="I336">
        <f>(I335+fotowoltaika[[#This Row],[czy_st_nie_wzrastal]])*fotowoltaika[[#This Row],[czy_st_nie_wzrastal]]</f>
        <v>1</v>
      </c>
      <c r="J336" s="4">
        <f>HOUR(fotowoltaika[[#This Row],[zach]]-fotowoltaika[[#This Row],[wsch]])</f>
        <v>8</v>
      </c>
      <c r="K336">
        <f>(K335+(0.8*fotowoltaika[[#This Row],[oddanie]])-(fotowoltaika[[#This Row],[pobranie]]))</f>
        <v>436.0060000000006</v>
      </c>
      <c r="L336">
        <f>IF(fotowoltaika[[#This Row],[Saldo]]&lt;50,1,0)</f>
        <v>0</v>
      </c>
      <c r="M336">
        <f>IF(fotowoltaika[[#This Row],[Saldo]]&lt;0,1,0)</f>
        <v>0</v>
      </c>
    </row>
    <row r="337" spans="1:13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>IF(AND(fotowoltaika[[#This Row],[st_zach]]&lt;=D336,fotowoltaika[[#This Row],[produkcja]]&gt;=E336),1,0)</f>
        <v>0</v>
      </c>
      <c r="I337">
        <f>(I336+fotowoltaika[[#This Row],[czy_st_nie_wzrastal]])*fotowoltaika[[#This Row],[czy_st_nie_wzrastal]]</f>
        <v>0</v>
      </c>
      <c r="J337" s="4">
        <f>HOUR(fotowoltaika[[#This Row],[zach]]-fotowoltaika[[#This Row],[wsch]])</f>
        <v>8</v>
      </c>
      <c r="K337">
        <f>(K336+(0.8*fotowoltaika[[#This Row],[oddanie]])-(fotowoltaika[[#This Row],[pobranie]]))</f>
        <v>431.41600000000057</v>
      </c>
      <c r="L337">
        <f>IF(fotowoltaika[[#This Row],[Saldo]]&lt;50,1,0)</f>
        <v>0</v>
      </c>
      <c r="M337">
        <f>IF(fotowoltaika[[#This Row],[Saldo]]&lt;0,1,0)</f>
        <v>0</v>
      </c>
    </row>
    <row r="338" spans="1:13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>IF(AND(fotowoltaika[[#This Row],[st_zach]]&lt;=D337,fotowoltaika[[#This Row],[produkcja]]&gt;=E337),1,0)</f>
        <v>1</v>
      </c>
      <c r="I338">
        <f>(I337+fotowoltaika[[#This Row],[czy_st_nie_wzrastal]])*fotowoltaika[[#This Row],[czy_st_nie_wzrastal]]</f>
        <v>1</v>
      </c>
      <c r="J338" s="4">
        <f>HOUR(fotowoltaika[[#This Row],[zach]]-fotowoltaika[[#This Row],[wsch]])</f>
        <v>8</v>
      </c>
      <c r="K338">
        <f>(K337+(0.8*fotowoltaika[[#This Row],[oddanie]])-(fotowoltaika[[#This Row],[pobranie]]))</f>
        <v>428.39400000000057</v>
      </c>
      <c r="L338">
        <f>IF(fotowoltaika[[#This Row],[Saldo]]&lt;50,1,0)</f>
        <v>0</v>
      </c>
      <c r="M338">
        <f>IF(fotowoltaika[[#This Row],[Saldo]]&lt;0,1,0)</f>
        <v>0</v>
      </c>
    </row>
    <row r="339" spans="1:13" x14ac:dyDescent="0.3">
      <c r="A339" s="1">
        <v>44899</v>
      </c>
      <c r="B339" s="2">
        <v>0.3087152777777778</v>
      </c>
      <c r="C339" s="2">
        <v>0.64425925925925931</v>
      </c>
      <c r="D339">
        <v>8</v>
      </c>
      <c r="E339">
        <v>1.32</v>
      </c>
      <c r="F339">
        <v>0.54</v>
      </c>
      <c r="G339">
        <v>5.16</v>
      </c>
      <c r="H339">
        <f>IF(AND(fotowoltaika[[#This Row],[st_zach]]&lt;=D338,fotowoltaika[[#This Row],[produkcja]]&gt;=E338),1,0)</f>
        <v>0</v>
      </c>
      <c r="I339">
        <f>(I338+fotowoltaika[[#This Row],[czy_st_nie_wzrastal]])*fotowoltaika[[#This Row],[czy_st_nie_wzrastal]]</f>
        <v>0</v>
      </c>
      <c r="J339" s="4">
        <f>HOUR(fotowoltaika[[#This Row],[zach]]-fotowoltaika[[#This Row],[wsch]])</f>
        <v>8</v>
      </c>
      <c r="K339">
        <f>(K338+(0.8*fotowoltaika[[#This Row],[oddanie]])-(fotowoltaika[[#This Row],[pobranie]]))</f>
        <v>423.66600000000057</v>
      </c>
      <c r="L339">
        <f>IF(fotowoltaika[[#This Row],[Saldo]]&lt;50,1,0)</f>
        <v>0</v>
      </c>
      <c r="M339">
        <f>IF(fotowoltaika[[#This Row],[Saldo]]&lt;0,1,0)</f>
        <v>0</v>
      </c>
    </row>
    <row r="340" spans="1:13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>IF(AND(fotowoltaika[[#This Row],[st_zach]]&lt;=D339,fotowoltaika[[#This Row],[produkcja]]&gt;=E339),1,0)</f>
        <v>1</v>
      </c>
      <c r="I340">
        <f>(I339+fotowoltaika[[#This Row],[czy_st_nie_wzrastal]])*fotowoltaika[[#This Row],[czy_st_nie_wzrastal]]</f>
        <v>1</v>
      </c>
      <c r="J340" s="4">
        <f>HOUR(fotowoltaika[[#This Row],[zach]]-fotowoltaika[[#This Row],[wsch]])</f>
        <v>8</v>
      </c>
      <c r="K340">
        <f>(K339+(0.8*fotowoltaika[[#This Row],[oddanie]])-(fotowoltaika[[#This Row],[pobranie]]))</f>
        <v>419.01800000000054</v>
      </c>
      <c r="L340">
        <f>IF(fotowoltaika[[#This Row],[Saldo]]&lt;50,1,0)</f>
        <v>0</v>
      </c>
      <c r="M340">
        <f>IF(fotowoltaika[[#This Row],[Saldo]]&lt;0,1,0)</f>
        <v>0</v>
      </c>
    </row>
    <row r="341" spans="1:13" x14ac:dyDescent="0.3">
      <c r="A341" s="1">
        <v>44901</v>
      </c>
      <c r="B341" s="2">
        <v>0.31049768518518517</v>
      </c>
      <c r="C341" s="2">
        <v>0.64363425925925921</v>
      </c>
      <c r="D341">
        <v>7</v>
      </c>
      <c r="E341">
        <v>2.2000000000000002</v>
      </c>
      <c r="F341">
        <v>0.61</v>
      </c>
      <c r="G341">
        <v>4.92</v>
      </c>
      <c r="H341">
        <f>IF(AND(fotowoltaika[[#This Row],[st_zach]]&lt;=D340,fotowoltaika[[#This Row],[produkcja]]&gt;=E340),1,0)</f>
        <v>0</v>
      </c>
      <c r="I341">
        <f>(I340+fotowoltaika[[#This Row],[czy_st_nie_wzrastal]])*fotowoltaika[[#This Row],[czy_st_nie_wzrastal]]</f>
        <v>0</v>
      </c>
      <c r="J341" s="4">
        <f>HOUR(fotowoltaika[[#This Row],[zach]]-fotowoltaika[[#This Row],[wsch]])</f>
        <v>7</v>
      </c>
      <c r="K341">
        <f>(K340+(0.8*fotowoltaika[[#This Row],[oddanie]])-(fotowoltaika[[#This Row],[pobranie]]))</f>
        <v>414.58600000000052</v>
      </c>
      <c r="L341">
        <f>IF(fotowoltaika[[#This Row],[Saldo]]&lt;50,1,0)</f>
        <v>0</v>
      </c>
      <c r="M341">
        <f>IF(fotowoltaika[[#This Row],[Saldo]]&lt;0,1,0)</f>
        <v>0</v>
      </c>
    </row>
    <row r="342" spans="1:13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>IF(AND(fotowoltaika[[#This Row],[st_zach]]&lt;=D341,fotowoltaika[[#This Row],[produkcja]]&gt;=E341),1,0)</f>
        <v>1</v>
      </c>
      <c r="I342">
        <f>(I341+fotowoltaika[[#This Row],[czy_st_nie_wzrastal]])*fotowoltaika[[#This Row],[czy_st_nie_wzrastal]]</f>
        <v>1</v>
      </c>
      <c r="J342" s="4">
        <f>HOUR(fotowoltaika[[#This Row],[zach]]-fotowoltaika[[#This Row],[wsch]])</f>
        <v>7</v>
      </c>
      <c r="K342">
        <f>(K341+(0.8*fotowoltaika[[#This Row],[oddanie]])-(fotowoltaika[[#This Row],[pobranie]]))</f>
        <v>409.83600000000052</v>
      </c>
      <c r="L342">
        <f>IF(fotowoltaika[[#This Row],[Saldo]]&lt;50,1,0)</f>
        <v>0</v>
      </c>
      <c r="M342">
        <f>IF(fotowoltaika[[#This Row],[Saldo]]&lt;0,1,0)</f>
        <v>0</v>
      </c>
    </row>
    <row r="343" spans="1:13" x14ac:dyDescent="0.3">
      <c r="A343" s="1">
        <v>44903</v>
      </c>
      <c r="B343" s="2">
        <v>0.31216435185185187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>IF(AND(fotowoltaika[[#This Row],[st_zach]]&lt;=D342,fotowoltaika[[#This Row],[produkcja]]&gt;=E342),1,0)</f>
        <v>0</v>
      </c>
      <c r="I343">
        <f>(I342+fotowoltaika[[#This Row],[czy_st_nie_wzrastal]])*fotowoltaika[[#This Row],[czy_st_nie_wzrastal]]</f>
        <v>0</v>
      </c>
      <c r="J343" s="4">
        <f>HOUR(fotowoltaika[[#This Row],[zach]]-fotowoltaika[[#This Row],[wsch]])</f>
        <v>7</v>
      </c>
      <c r="K343">
        <f>(K342+(0.8*fotowoltaika[[#This Row],[oddanie]])-(fotowoltaika[[#This Row],[pobranie]]))</f>
        <v>406.53800000000052</v>
      </c>
      <c r="L343">
        <f>IF(fotowoltaika[[#This Row],[Saldo]]&lt;50,1,0)</f>
        <v>0</v>
      </c>
      <c r="M343">
        <f>IF(fotowoltaika[[#This Row],[Saldo]]&lt;0,1,0)</f>
        <v>0</v>
      </c>
    </row>
    <row r="344" spans="1:13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>IF(AND(fotowoltaika[[#This Row],[st_zach]]&lt;=D343,fotowoltaika[[#This Row],[produkcja]]&gt;=E343),1,0)</f>
        <v>1</v>
      </c>
      <c r="I344">
        <f>(I343+fotowoltaika[[#This Row],[czy_st_nie_wzrastal]])*fotowoltaika[[#This Row],[czy_st_nie_wzrastal]]</f>
        <v>1</v>
      </c>
      <c r="J344" s="4">
        <f>HOUR(fotowoltaika[[#This Row],[zach]]-fotowoltaika[[#This Row],[wsch]])</f>
        <v>7</v>
      </c>
      <c r="K344">
        <f>(K343+(0.8*fotowoltaika[[#This Row],[oddanie]])-(fotowoltaika[[#This Row],[pobranie]]))</f>
        <v>403.42400000000055</v>
      </c>
      <c r="L344">
        <f>IF(fotowoltaika[[#This Row],[Saldo]]&lt;50,1,0)</f>
        <v>0</v>
      </c>
      <c r="M344">
        <f>IF(fotowoltaika[[#This Row],[Saldo]]&lt;0,1,0)</f>
        <v>0</v>
      </c>
    </row>
    <row r="345" spans="1:13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>IF(AND(fotowoltaika[[#This Row],[st_zach]]&lt;=D344,fotowoltaika[[#This Row],[produkcja]]&gt;=E344),1,0)</f>
        <v>1</v>
      </c>
      <c r="I345">
        <f>(I344+fotowoltaika[[#This Row],[czy_st_nie_wzrastal]])*fotowoltaika[[#This Row],[czy_st_nie_wzrastal]]</f>
        <v>2</v>
      </c>
      <c r="J345" s="4">
        <f>HOUR(fotowoltaika[[#This Row],[zach]]-fotowoltaika[[#This Row],[wsch]])</f>
        <v>7</v>
      </c>
      <c r="K345">
        <f>(K344+(0.8*fotowoltaika[[#This Row],[oddanie]])-(fotowoltaika[[#This Row],[pobranie]]))</f>
        <v>399.68200000000053</v>
      </c>
      <c r="L345">
        <f>IF(fotowoltaika[[#This Row],[Saldo]]&lt;50,1,0)</f>
        <v>0</v>
      </c>
      <c r="M345">
        <f>IF(fotowoltaika[[#This Row],[Saldo]]&lt;0,1,0)</f>
        <v>0</v>
      </c>
    </row>
    <row r="346" spans="1:13" x14ac:dyDescent="0.3">
      <c r="A346" s="1">
        <v>44906</v>
      </c>
      <c r="B346" s="2">
        <v>0.31444444444444447</v>
      </c>
      <c r="C346" s="2">
        <v>0.64275462962962959</v>
      </c>
      <c r="D346">
        <v>7</v>
      </c>
      <c r="E346">
        <v>2.11</v>
      </c>
      <c r="F346">
        <v>0.84</v>
      </c>
      <c r="G346">
        <v>5.38</v>
      </c>
      <c r="H346">
        <f>IF(AND(fotowoltaika[[#This Row],[st_zach]]&lt;=D345,fotowoltaika[[#This Row],[produkcja]]&gt;=E345),1,0)</f>
        <v>0</v>
      </c>
      <c r="I346">
        <f>(I345+fotowoltaika[[#This Row],[czy_st_nie_wzrastal]])*fotowoltaika[[#This Row],[czy_st_nie_wzrastal]]</f>
        <v>0</v>
      </c>
      <c r="J346" s="4">
        <f>HOUR(fotowoltaika[[#This Row],[zach]]-fotowoltaika[[#This Row],[wsch]])</f>
        <v>7</v>
      </c>
      <c r="K346">
        <f>(K345+(0.8*fotowoltaika[[#This Row],[oddanie]])-(fotowoltaika[[#This Row],[pobranie]]))</f>
        <v>394.97400000000056</v>
      </c>
      <c r="L346">
        <f>IF(fotowoltaika[[#This Row],[Saldo]]&lt;50,1,0)</f>
        <v>0</v>
      </c>
      <c r="M346">
        <f>IF(fotowoltaika[[#This Row],[Saldo]]&lt;0,1,0)</f>
        <v>0</v>
      </c>
    </row>
    <row r="347" spans="1:13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>IF(AND(fotowoltaika[[#This Row],[st_zach]]&lt;=D346,fotowoltaika[[#This Row],[produkcja]]&gt;=E346),1,0)</f>
        <v>0</v>
      </c>
      <c r="I347">
        <f>(I346+fotowoltaika[[#This Row],[czy_st_nie_wzrastal]])*fotowoltaika[[#This Row],[czy_st_nie_wzrastal]]</f>
        <v>0</v>
      </c>
      <c r="J347" s="4">
        <f>HOUR(fotowoltaika[[#This Row],[zach]]-fotowoltaika[[#This Row],[wsch]])</f>
        <v>7</v>
      </c>
      <c r="K347">
        <f>(K346+(0.8*fotowoltaika[[#This Row],[oddanie]])-(fotowoltaika[[#This Row],[pobranie]]))</f>
        <v>388.71400000000057</v>
      </c>
      <c r="L347">
        <f>IF(fotowoltaika[[#This Row],[Saldo]]&lt;50,1,0)</f>
        <v>0</v>
      </c>
      <c r="M347">
        <f>IF(fotowoltaika[[#This Row],[Saldo]]&lt;0,1,0)</f>
        <v>0</v>
      </c>
    </row>
    <row r="348" spans="1:13" x14ac:dyDescent="0.3">
      <c r="A348" s="1">
        <v>44908</v>
      </c>
      <c r="B348" s="2">
        <v>0.31581018518518517</v>
      </c>
      <c r="C348" s="2">
        <v>0.64268518518518514</v>
      </c>
      <c r="D348">
        <v>7</v>
      </c>
      <c r="E348">
        <v>2.0299999999999998</v>
      </c>
      <c r="F348">
        <v>1.02</v>
      </c>
      <c r="G348">
        <v>6.12</v>
      </c>
      <c r="H348">
        <f>IF(AND(fotowoltaika[[#This Row],[st_zach]]&lt;=D347,fotowoltaika[[#This Row],[produkcja]]&gt;=E347),1,0)</f>
        <v>1</v>
      </c>
      <c r="I348">
        <f>(I347+fotowoltaika[[#This Row],[czy_st_nie_wzrastal]])*fotowoltaika[[#This Row],[czy_st_nie_wzrastal]]</f>
        <v>1</v>
      </c>
      <c r="J348" s="4">
        <f>HOUR(fotowoltaika[[#This Row],[zach]]-fotowoltaika[[#This Row],[wsch]])</f>
        <v>7</v>
      </c>
      <c r="K348">
        <f>(K347+(0.8*fotowoltaika[[#This Row],[oddanie]])-(fotowoltaika[[#This Row],[pobranie]]))</f>
        <v>383.41000000000054</v>
      </c>
      <c r="L348">
        <f>IF(fotowoltaika[[#This Row],[Saldo]]&lt;50,1,0)</f>
        <v>0</v>
      </c>
      <c r="M348">
        <f>IF(fotowoltaika[[#This Row],[Saldo]]&lt;0,1,0)</f>
        <v>0</v>
      </c>
    </row>
    <row r="349" spans="1:13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>IF(AND(fotowoltaika[[#This Row],[st_zach]]&lt;=D348,fotowoltaika[[#This Row],[produkcja]]&gt;=E348),1,0)</f>
        <v>0</v>
      </c>
      <c r="I349">
        <f>(I348+fotowoltaika[[#This Row],[czy_st_nie_wzrastal]])*fotowoltaika[[#This Row],[czy_st_nie_wzrastal]]</f>
        <v>0</v>
      </c>
      <c r="J349" s="4">
        <f>HOUR(fotowoltaika[[#This Row],[zach]]-fotowoltaika[[#This Row],[wsch]])</f>
        <v>7</v>
      </c>
      <c r="K349">
        <f>(K348+(0.8*fotowoltaika[[#This Row],[oddanie]])-(fotowoltaika[[#This Row],[pobranie]]))</f>
        <v>377.51200000000057</v>
      </c>
      <c r="L349">
        <f>IF(fotowoltaika[[#This Row],[Saldo]]&lt;50,1,0)</f>
        <v>0</v>
      </c>
      <c r="M349">
        <f>IF(fotowoltaika[[#This Row],[Saldo]]&lt;0,1,0)</f>
        <v>0</v>
      </c>
    </row>
    <row r="350" spans="1:13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>IF(AND(fotowoltaika[[#This Row],[st_zach]]&lt;=D349,fotowoltaika[[#This Row],[produkcja]]&gt;=E349),1,0)</f>
        <v>1</v>
      </c>
      <c r="I350">
        <f>(I349+fotowoltaika[[#This Row],[czy_st_nie_wzrastal]])*fotowoltaika[[#This Row],[czy_st_nie_wzrastal]]</f>
        <v>1</v>
      </c>
      <c r="J350" s="4">
        <f>HOUR(fotowoltaika[[#This Row],[zach]]-fotowoltaika[[#This Row],[wsch]])</f>
        <v>7</v>
      </c>
      <c r="K350">
        <f>(K349+(0.8*fotowoltaika[[#This Row],[oddanie]])-(fotowoltaika[[#This Row],[pobranie]]))</f>
        <v>372.78400000000056</v>
      </c>
      <c r="L350">
        <f>IF(fotowoltaika[[#This Row],[Saldo]]&lt;50,1,0)</f>
        <v>0</v>
      </c>
      <c r="M350">
        <f>IF(fotowoltaika[[#This Row],[Saldo]]&lt;0,1,0)</f>
        <v>0</v>
      </c>
    </row>
    <row r="351" spans="1:13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>IF(AND(fotowoltaika[[#This Row],[st_zach]]&lt;=D350,fotowoltaika[[#This Row],[produkcja]]&gt;=E350),1,0)</f>
        <v>0</v>
      </c>
      <c r="I351">
        <f>(I350+fotowoltaika[[#This Row],[czy_st_nie_wzrastal]])*fotowoltaika[[#This Row],[czy_st_nie_wzrastal]]</f>
        <v>0</v>
      </c>
      <c r="J351" s="4">
        <f>HOUR(fotowoltaika[[#This Row],[zach]]-fotowoltaika[[#This Row],[wsch]])</f>
        <v>7</v>
      </c>
      <c r="K351">
        <f>(K350+(0.8*fotowoltaika[[#This Row],[oddanie]])-(fotowoltaika[[#This Row],[pobranie]]))</f>
        <v>368.31400000000059</v>
      </c>
      <c r="L351">
        <f>IF(fotowoltaika[[#This Row],[Saldo]]&lt;50,1,0)</f>
        <v>0</v>
      </c>
      <c r="M351">
        <f>IF(fotowoltaika[[#This Row],[Saldo]]&lt;0,1,0)</f>
        <v>0</v>
      </c>
    </row>
    <row r="352" spans="1:13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>IF(AND(fotowoltaika[[#This Row],[st_zach]]&lt;=D351,fotowoltaika[[#This Row],[produkcja]]&gt;=E351),1,0)</f>
        <v>1</v>
      </c>
      <c r="I352">
        <f>(I351+fotowoltaika[[#This Row],[czy_st_nie_wzrastal]])*fotowoltaika[[#This Row],[czy_st_nie_wzrastal]]</f>
        <v>1</v>
      </c>
      <c r="J352" s="4">
        <f>HOUR(fotowoltaika[[#This Row],[zach]]-fotowoltaika[[#This Row],[wsch]])</f>
        <v>7</v>
      </c>
      <c r="K352">
        <f>(K351+(0.8*fotowoltaika[[#This Row],[oddanie]])-(fotowoltaika[[#This Row],[pobranie]]))</f>
        <v>363.0540000000006</v>
      </c>
      <c r="L352">
        <f>IF(fotowoltaika[[#This Row],[Saldo]]&lt;50,1,0)</f>
        <v>0</v>
      </c>
      <c r="M352">
        <f>IF(fotowoltaika[[#This Row],[Saldo]]&lt;0,1,0)</f>
        <v>0</v>
      </c>
    </row>
    <row r="353" spans="1:13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>IF(AND(fotowoltaika[[#This Row],[st_zach]]&lt;=D352,fotowoltaika[[#This Row],[produkcja]]&gt;=E352),1,0)</f>
        <v>1</v>
      </c>
      <c r="I353">
        <f>(I352+fotowoltaika[[#This Row],[czy_st_nie_wzrastal]])*fotowoltaika[[#This Row],[czy_st_nie_wzrastal]]</f>
        <v>2</v>
      </c>
      <c r="J353" s="4">
        <f>HOUR(fotowoltaika[[#This Row],[zach]]-fotowoltaika[[#This Row],[wsch]])</f>
        <v>7</v>
      </c>
      <c r="K353">
        <f>(K352+(0.8*fotowoltaika[[#This Row],[oddanie]])-(fotowoltaika[[#This Row],[pobranie]]))</f>
        <v>358.64400000000063</v>
      </c>
      <c r="L353">
        <f>IF(fotowoltaika[[#This Row],[Saldo]]&lt;50,1,0)</f>
        <v>0</v>
      </c>
      <c r="M353">
        <f>IF(fotowoltaika[[#This Row],[Saldo]]&lt;0,1,0)</f>
        <v>0</v>
      </c>
    </row>
    <row r="354" spans="1:13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>IF(AND(fotowoltaika[[#This Row],[st_zach]]&lt;=D353,fotowoltaika[[#This Row],[produkcja]]&gt;=E353),1,0)</f>
        <v>0</v>
      </c>
      <c r="I354">
        <f>(I353+fotowoltaika[[#This Row],[czy_st_nie_wzrastal]])*fotowoltaika[[#This Row],[czy_st_nie_wzrastal]]</f>
        <v>0</v>
      </c>
      <c r="J354" s="4">
        <f>HOUR(fotowoltaika[[#This Row],[zach]]-fotowoltaika[[#This Row],[wsch]])</f>
        <v>7</v>
      </c>
      <c r="K354">
        <f>(K353+(0.8*fotowoltaika[[#This Row],[oddanie]])-(fotowoltaika[[#This Row],[pobranie]]))</f>
        <v>352.86000000000058</v>
      </c>
      <c r="L354">
        <f>IF(fotowoltaika[[#This Row],[Saldo]]&lt;50,1,0)</f>
        <v>0</v>
      </c>
      <c r="M354">
        <f>IF(fotowoltaika[[#This Row],[Saldo]]&lt;0,1,0)</f>
        <v>0</v>
      </c>
    </row>
    <row r="355" spans="1:13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>IF(AND(fotowoltaika[[#This Row],[st_zach]]&lt;=D354,fotowoltaika[[#This Row],[produkcja]]&gt;=E354),1,0)</f>
        <v>1</v>
      </c>
      <c r="I355">
        <f>(I354+fotowoltaika[[#This Row],[czy_st_nie_wzrastal]])*fotowoltaika[[#This Row],[czy_st_nie_wzrastal]]</f>
        <v>1</v>
      </c>
      <c r="J355" s="4">
        <f>HOUR(fotowoltaika[[#This Row],[zach]]-fotowoltaika[[#This Row],[wsch]])</f>
        <v>7</v>
      </c>
      <c r="K355">
        <f>(K354+(0.8*fotowoltaika[[#This Row],[oddanie]])-(fotowoltaika[[#This Row],[pobranie]]))</f>
        <v>348.52600000000058</v>
      </c>
      <c r="L355">
        <f>IF(fotowoltaika[[#This Row],[Saldo]]&lt;50,1,0)</f>
        <v>0</v>
      </c>
      <c r="M355">
        <f>IF(fotowoltaika[[#This Row],[Saldo]]&lt;0,1,0)</f>
        <v>0</v>
      </c>
    </row>
    <row r="356" spans="1:13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>IF(AND(fotowoltaika[[#This Row],[st_zach]]&lt;=D355,fotowoltaika[[#This Row],[produkcja]]&gt;=E355),1,0)</f>
        <v>1</v>
      </c>
      <c r="I356">
        <f>(I355+fotowoltaika[[#This Row],[czy_st_nie_wzrastal]])*fotowoltaika[[#This Row],[czy_st_nie_wzrastal]]</f>
        <v>2</v>
      </c>
      <c r="J356" s="4">
        <f>HOUR(fotowoltaika[[#This Row],[zach]]-fotowoltaika[[#This Row],[wsch]])</f>
        <v>7</v>
      </c>
      <c r="K356">
        <f>(K355+(0.8*fotowoltaika[[#This Row],[oddanie]])-(fotowoltaika[[#This Row],[pobranie]]))</f>
        <v>342.42800000000062</v>
      </c>
      <c r="L356">
        <f>IF(fotowoltaika[[#This Row],[Saldo]]&lt;50,1,0)</f>
        <v>0</v>
      </c>
      <c r="M356">
        <f>IF(fotowoltaika[[#This Row],[Saldo]]&lt;0,1,0)</f>
        <v>0</v>
      </c>
    </row>
    <row r="357" spans="1:13" x14ac:dyDescent="0.3">
      <c r="A357" s="1">
        <v>44917</v>
      </c>
      <c r="B357" s="2">
        <v>0.32023148148148151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>IF(AND(fotowoltaika[[#This Row],[st_zach]]&lt;=D356,fotowoltaika[[#This Row],[produkcja]]&gt;=E356),1,0)</f>
        <v>0</v>
      </c>
      <c r="I357">
        <f>(I356+fotowoltaika[[#This Row],[czy_st_nie_wzrastal]])*fotowoltaika[[#This Row],[czy_st_nie_wzrastal]]</f>
        <v>0</v>
      </c>
      <c r="J357" s="4">
        <f>HOUR(fotowoltaika[[#This Row],[zach]]-fotowoltaika[[#This Row],[wsch]])</f>
        <v>7</v>
      </c>
      <c r="K357">
        <f>(K356+(0.8*fotowoltaika[[#This Row],[oddanie]])-(fotowoltaika[[#This Row],[pobranie]]))</f>
        <v>337.71400000000062</v>
      </c>
      <c r="L357">
        <f>IF(fotowoltaika[[#This Row],[Saldo]]&lt;50,1,0)</f>
        <v>0</v>
      </c>
      <c r="M357">
        <f>IF(fotowoltaika[[#This Row],[Saldo]]&lt;0,1,0)</f>
        <v>0</v>
      </c>
    </row>
    <row r="358" spans="1:13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>IF(AND(fotowoltaika[[#This Row],[st_zach]]&lt;=D357,fotowoltaika[[#This Row],[produkcja]]&gt;=E357),1,0)</f>
        <v>1</v>
      </c>
      <c r="I358">
        <f>(I357+fotowoltaika[[#This Row],[czy_st_nie_wzrastal]])*fotowoltaika[[#This Row],[czy_st_nie_wzrastal]]</f>
        <v>1</v>
      </c>
      <c r="J358" s="4">
        <f>HOUR(fotowoltaika[[#This Row],[zach]]-fotowoltaika[[#This Row],[wsch]])</f>
        <v>7</v>
      </c>
      <c r="K358">
        <f>(K357+(0.8*fotowoltaika[[#This Row],[oddanie]])-(fotowoltaika[[#This Row],[pobranie]]))</f>
        <v>334.17000000000064</v>
      </c>
      <c r="L358">
        <f>IF(fotowoltaika[[#This Row],[Saldo]]&lt;50,1,0)</f>
        <v>0</v>
      </c>
      <c r="M358">
        <f>IF(fotowoltaika[[#This Row],[Saldo]]&lt;0,1,0)</f>
        <v>0</v>
      </c>
    </row>
    <row r="359" spans="1:13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>IF(AND(fotowoltaika[[#This Row],[st_zach]]&lt;=D358,fotowoltaika[[#This Row],[produkcja]]&gt;=E358),1,0)</f>
        <v>0</v>
      </c>
      <c r="I359">
        <f>(I358+fotowoltaika[[#This Row],[czy_st_nie_wzrastal]])*fotowoltaika[[#This Row],[czy_st_nie_wzrastal]]</f>
        <v>0</v>
      </c>
      <c r="J359" s="4">
        <f>HOUR(fotowoltaika[[#This Row],[zach]]-fotowoltaika[[#This Row],[wsch]])</f>
        <v>7</v>
      </c>
      <c r="K359">
        <f>(K358+(0.8*fotowoltaika[[#This Row],[oddanie]])-(fotowoltaika[[#This Row],[pobranie]]))</f>
        <v>328.17200000000065</v>
      </c>
      <c r="L359">
        <f>IF(fotowoltaika[[#This Row],[Saldo]]&lt;50,1,0)</f>
        <v>0</v>
      </c>
      <c r="M359">
        <f>IF(fotowoltaika[[#This Row],[Saldo]]&lt;0,1,0)</f>
        <v>0</v>
      </c>
    </row>
    <row r="360" spans="1:13" x14ac:dyDescent="0.3">
      <c r="A360" s="1">
        <v>44920</v>
      </c>
      <c r="B360" s="2">
        <v>0.32103009259259258</v>
      </c>
      <c r="C360" s="2">
        <v>0.64564814814814819</v>
      </c>
      <c r="D360">
        <v>7</v>
      </c>
      <c r="E360">
        <v>2.92</v>
      </c>
      <c r="F360">
        <v>1.05</v>
      </c>
      <c r="G360">
        <v>4.1399999999999997</v>
      </c>
      <c r="H360">
        <f>IF(AND(fotowoltaika[[#This Row],[st_zach]]&lt;=D359,fotowoltaika[[#This Row],[produkcja]]&gt;=E359),1,0)</f>
        <v>1</v>
      </c>
      <c r="I360">
        <f>(I359+fotowoltaika[[#This Row],[czy_st_nie_wzrastal]])*fotowoltaika[[#This Row],[czy_st_nie_wzrastal]]</f>
        <v>1</v>
      </c>
      <c r="J360" s="4">
        <f>HOUR(fotowoltaika[[#This Row],[zach]]-fotowoltaika[[#This Row],[wsch]])</f>
        <v>7</v>
      </c>
      <c r="K360">
        <f>(K359+(0.8*fotowoltaika[[#This Row],[oddanie]])-(fotowoltaika[[#This Row],[pobranie]]))</f>
        <v>324.87200000000064</v>
      </c>
      <c r="L360">
        <f>IF(fotowoltaika[[#This Row],[Saldo]]&lt;50,1,0)</f>
        <v>0</v>
      </c>
      <c r="M360">
        <f>IF(fotowoltaika[[#This Row],[Saldo]]&lt;0,1,0)</f>
        <v>0</v>
      </c>
    </row>
    <row r="361" spans="1:13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>IF(AND(fotowoltaika[[#This Row],[st_zach]]&lt;=D360,fotowoltaika[[#This Row],[produkcja]]&gt;=E360),1,0)</f>
        <v>1</v>
      </c>
      <c r="I361">
        <f>(I360+fotowoltaika[[#This Row],[czy_st_nie_wzrastal]])*fotowoltaika[[#This Row],[czy_st_nie_wzrastal]]</f>
        <v>2</v>
      </c>
      <c r="J361" s="4">
        <f>HOUR(fotowoltaika[[#This Row],[zach]]-fotowoltaika[[#This Row],[wsch]])</f>
        <v>7</v>
      </c>
      <c r="K361">
        <f>(K360+(0.8*fotowoltaika[[#This Row],[oddanie]])-(fotowoltaika[[#This Row],[pobranie]]))</f>
        <v>321.48400000000066</v>
      </c>
      <c r="L361">
        <f>IF(fotowoltaika[[#This Row],[Saldo]]&lt;50,1,0)</f>
        <v>0</v>
      </c>
      <c r="M361">
        <f>IF(fotowoltaika[[#This Row],[Saldo]]&lt;0,1,0)</f>
        <v>0</v>
      </c>
    </row>
    <row r="362" spans="1:13" x14ac:dyDescent="0.3">
      <c r="A362" s="1">
        <v>44922</v>
      </c>
      <c r="B362" s="2">
        <v>0.32136574074074076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>IF(AND(fotowoltaika[[#This Row],[st_zach]]&lt;=D361,fotowoltaika[[#This Row],[produkcja]]&gt;=E361),1,0)</f>
        <v>1</v>
      </c>
      <c r="I362">
        <f>(I361+fotowoltaika[[#This Row],[czy_st_nie_wzrastal]])*fotowoltaika[[#This Row],[czy_st_nie_wzrastal]]</f>
        <v>3</v>
      </c>
      <c r="J362" s="4">
        <f>HOUR(fotowoltaika[[#This Row],[zach]]-fotowoltaika[[#This Row],[wsch]])</f>
        <v>7</v>
      </c>
      <c r="K362">
        <f>(K361+(0.8*fotowoltaika[[#This Row],[oddanie]])-(fotowoltaika[[#This Row],[pobranie]]))</f>
        <v>318.92200000000071</v>
      </c>
      <c r="L362">
        <f>IF(fotowoltaika[[#This Row],[Saldo]]&lt;50,1,0)</f>
        <v>0</v>
      </c>
      <c r="M362">
        <f>IF(fotowoltaika[[#This Row],[Saldo]]&lt;0,1,0)</f>
        <v>0</v>
      </c>
    </row>
    <row r="363" spans="1:13" x14ac:dyDescent="0.3">
      <c r="A363" s="1">
        <v>44923</v>
      </c>
      <c r="B363" s="2">
        <v>0.32146990740740738</v>
      </c>
      <c r="C363" s="2">
        <v>0.64725694444444448</v>
      </c>
      <c r="D363">
        <v>8</v>
      </c>
      <c r="E363">
        <v>1.54</v>
      </c>
      <c r="F363">
        <v>0.36</v>
      </c>
      <c r="G363">
        <v>4.1900000000000004</v>
      </c>
      <c r="H363">
        <f>IF(AND(fotowoltaika[[#This Row],[st_zach]]&lt;=D362,fotowoltaika[[#This Row],[produkcja]]&gt;=E362),1,0)</f>
        <v>0</v>
      </c>
      <c r="I363">
        <f>(I362+fotowoltaika[[#This Row],[czy_st_nie_wzrastal]])*fotowoltaika[[#This Row],[czy_st_nie_wzrastal]]</f>
        <v>0</v>
      </c>
      <c r="J363" s="4">
        <f>HOUR(fotowoltaika[[#This Row],[zach]]-fotowoltaika[[#This Row],[wsch]])</f>
        <v>7</v>
      </c>
      <c r="K363">
        <f>(K362+(0.8*fotowoltaika[[#This Row],[oddanie]])-(fotowoltaika[[#This Row],[pobranie]]))</f>
        <v>315.02000000000072</v>
      </c>
      <c r="L363">
        <f>IF(fotowoltaika[[#This Row],[Saldo]]&lt;50,1,0)</f>
        <v>0</v>
      </c>
      <c r="M363">
        <f>IF(fotowoltaika[[#This Row],[Saldo]]&lt;0,1,0)</f>
        <v>0</v>
      </c>
    </row>
    <row r="364" spans="1:13" x14ac:dyDescent="0.3">
      <c r="A364" s="1">
        <v>44924</v>
      </c>
      <c r="B364" s="2">
        <v>0.32153935185185184</v>
      </c>
      <c r="C364" s="2">
        <v>0.64787037037037032</v>
      </c>
      <c r="D364">
        <v>8</v>
      </c>
      <c r="E364">
        <v>1.21</v>
      </c>
      <c r="F364">
        <v>0.24</v>
      </c>
      <c r="G364">
        <v>5.39</v>
      </c>
      <c r="H364">
        <f>IF(AND(fotowoltaika[[#This Row],[st_zach]]&lt;=D363,fotowoltaika[[#This Row],[produkcja]]&gt;=E363),1,0)</f>
        <v>0</v>
      </c>
      <c r="I364">
        <f>(I363+fotowoltaika[[#This Row],[czy_st_nie_wzrastal]])*fotowoltaika[[#This Row],[czy_st_nie_wzrastal]]</f>
        <v>0</v>
      </c>
      <c r="J364" s="4">
        <f>HOUR(fotowoltaika[[#This Row],[zach]]-fotowoltaika[[#This Row],[wsch]])</f>
        <v>7</v>
      </c>
      <c r="K364">
        <f>(K363+(0.8*fotowoltaika[[#This Row],[oddanie]])-(fotowoltaika[[#This Row],[pobranie]]))</f>
        <v>309.82200000000074</v>
      </c>
      <c r="L364">
        <f>IF(fotowoltaika[[#This Row],[Saldo]]&lt;50,1,0)</f>
        <v>0</v>
      </c>
      <c r="M364">
        <f>IF(fotowoltaika[[#This Row],[Saldo]]&lt;0,1,0)</f>
        <v>0</v>
      </c>
    </row>
    <row r="365" spans="1:13" x14ac:dyDescent="0.3">
      <c r="A365" s="1">
        <v>44925</v>
      </c>
      <c r="B365" s="2">
        <v>0.32156249999999997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>IF(AND(fotowoltaika[[#This Row],[st_zach]]&lt;=D364,fotowoltaika[[#This Row],[produkcja]]&gt;=E364),1,0)</f>
        <v>1</v>
      </c>
      <c r="I365">
        <f>(I364+fotowoltaika[[#This Row],[czy_st_nie_wzrastal]])*fotowoltaika[[#This Row],[czy_st_nie_wzrastal]]</f>
        <v>1</v>
      </c>
      <c r="J365" s="4">
        <f>HOUR(fotowoltaika[[#This Row],[zach]]-fotowoltaika[[#This Row],[wsch]])</f>
        <v>7</v>
      </c>
      <c r="K365">
        <f>(K364+(0.8*fotowoltaika[[#This Row],[oddanie]])-(fotowoltaika[[#This Row],[pobranie]]))</f>
        <v>305.93800000000073</v>
      </c>
      <c r="L365">
        <f>IF(fotowoltaika[[#This Row],[Saldo]]&lt;50,1,0)</f>
        <v>0</v>
      </c>
      <c r="M365">
        <f>IF(fotowoltaika[[#This Row],[Saldo]]&lt;0,1,0)</f>
        <v>0</v>
      </c>
    </row>
    <row r="366" spans="1:13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>IF(AND(fotowoltaika[[#This Row],[st_zach]]&lt;=D365,fotowoltaika[[#This Row],[produkcja]]&gt;=E365),1,0)</f>
        <v>0</v>
      </c>
      <c r="I366">
        <f>(I365+fotowoltaika[[#This Row],[czy_st_nie_wzrastal]])*fotowoltaika[[#This Row],[czy_st_nie_wzrastal]]</f>
        <v>0</v>
      </c>
      <c r="J366" s="4">
        <f>HOUR(fotowoltaika[[#This Row],[zach]]-fotowoltaika[[#This Row],[wsch]])</f>
        <v>7</v>
      </c>
      <c r="K366">
        <f>(K365+(0.8*fotowoltaika[[#This Row],[oddanie]])-(fotowoltaika[[#This Row],[pobranie]]))</f>
        <v>300.93200000000076</v>
      </c>
      <c r="L366">
        <f>IF(fotowoltaika[[#This Row],[Saldo]]&lt;50,1,0)</f>
        <v>0</v>
      </c>
      <c r="M366">
        <f>IF(fotowoltaika[[#This Row],[Saldo]]&lt;0,1,0)</f>
        <v>0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F0AD3-1C4A-459A-8694-A003E95C5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fotowoltaika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Choroś</dc:creator>
  <cp:lastModifiedBy>Wojtek Choroś</cp:lastModifiedBy>
  <dcterms:created xsi:type="dcterms:W3CDTF">2015-06-05T18:19:34Z</dcterms:created>
  <dcterms:modified xsi:type="dcterms:W3CDTF">2026-04-24T07:46:39Z</dcterms:modified>
</cp:coreProperties>
</file>