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wofa\Desktop\MaturaInformatyka\24_12_probna_cke\"/>
    </mc:Choice>
  </mc:AlternateContent>
  <xr:revisionPtr revIDLastSave="0" documentId="13_ncr:1_{BF4E93BD-12B7-4885-BD8E-56AFA277D727}" xr6:coauthVersionLast="47" xr6:coauthVersionMax="47" xr10:uidLastSave="{00000000-0000-0000-0000-000000000000}"/>
  <bookViews>
    <workbookView xWindow="-108" yWindow="-108" windowWidth="30936" windowHeight="16896" tabRatio="359" xr2:uid="{00000000-000D-0000-FFFF-FFFF00000000}"/>
  </bookViews>
  <sheets>
    <sheet name="energia" sheetId="2" r:id="rId1"/>
  </sheets>
  <definedNames>
    <definedName name="ExternalData_1" localSheetId="0" hidden="1">energia!$A$1:$D$721</definedName>
  </definedName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E2" i="2"/>
  <c r="E3" i="2"/>
  <c r="F3" i="2" s="1"/>
  <c r="E4" i="2"/>
  <c r="F4" i="2" s="1"/>
  <c r="E5" i="2"/>
  <c r="E6" i="2"/>
  <c r="E7" i="2"/>
  <c r="F7" i="2" s="1"/>
  <c r="E8" i="2"/>
  <c r="E9" i="2"/>
  <c r="F9" i="2" s="1"/>
  <c r="E10" i="2"/>
  <c r="F10" i="2" s="1"/>
  <c r="E11" i="2"/>
  <c r="F11" i="2" s="1"/>
  <c r="E12" i="2"/>
  <c r="F12" i="2" s="1"/>
  <c r="E13" i="2"/>
  <c r="E14" i="2"/>
  <c r="E15" i="2"/>
  <c r="E16" i="2"/>
  <c r="E17" i="2"/>
  <c r="E18" i="2"/>
  <c r="E19" i="2"/>
  <c r="F19" i="2" s="1"/>
  <c r="E20" i="2"/>
  <c r="E21" i="2"/>
  <c r="E22" i="2"/>
  <c r="E23" i="2"/>
  <c r="E24" i="2"/>
  <c r="E25" i="2"/>
  <c r="F25" i="2" s="1"/>
  <c r="E26" i="2"/>
  <c r="F26" i="2" s="1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F42" i="2" s="1"/>
  <c r="E43" i="2"/>
  <c r="F43" i="2" s="1"/>
  <c r="E44" i="2"/>
  <c r="F44" i="2" s="1"/>
  <c r="E45" i="2"/>
  <c r="E46" i="2"/>
  <c r="E47" i="2"/>
  <c r="F47" i="2" s="1"/>
  <c r="E48" i="2"/>
  <c r="F48" i="2" s="1"/>
  <c r="E49" i="2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E75" i="2"/>
  <c r="E76" i="2"/>
  <c r="E77" i="2"/>
  <c r="E78" i="2"/>
  <c r="E79" i="2"/>
  <c r="E80" i="2"/>
  <c r="E81" i="2"/>
  <c r="E82" i="2"/>
  <c r="F82" i="2" s="1"/>
  <c r="E83" i="2"/>
  <c r="F83" i="2" s="1"/>
  <c r="E84" i="2"/>
  <c r="F84" i="2" s="1"/>
  <c r="E85" i="2"/>
  <c r="F85" i="2" s="1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E110" i="2"/>
  <c r="E111" i="2"/>
  <c r="E112" i="2"/>
  <c r="F112" i="2" s="1"/>
  <c r="E113" i="2"/>
  <c r="F113" i="2" s="1"/>
  <c r="E114" i="2"/>
  <c r="E115" i="2"/>
  <c r="E116" i="2"/>
  <c r="E117" i="2"/>
  <c r="E118" i="2"/>
  <c r="E119" i="2"/>
  <c r="E120" i="2"/>
  <c r="E121" i="2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E134" i="2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F154" i="2" s="1"/>
  <c r="E155" i="2"/>
  <c r="F155" i="2" s="1"/>
  <c r="E156" i="2"/>
  <c r="F156" i="2" s="1"/>
  <c r="E157" i="2"/>
  <c r="E158" i="2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E166" i="2"/>
  <c r="E167" i="2"/>
  <c r="F167" i="2" s="1"/>
  <c r="E168" i="2"/>
  <c r="E169" i="2"/>
  <c r="E170" i="2"/>
  <c r="E171" i="2"/>
  <c r="E172" i="2"/>
  <c r="E173" i="2"/>
  <c r="E174" i="2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E183" i="2"/>
  <c r="F183" i="2" s="1"/>
  <c r="E184" i="2"/>
  <c r="E185" i="2"/>
  <c r="E186" i="2"/>
  <c r="E187" i="2"/>
  <c r="E188" i="2"/>
  <c r="E189" i="2"/>
  <c r="E190" i="2"/>
  <c r="E191" i="2"/>
  <c r="E192" i="2"/>
  <c r="E193" i="2"/>
  <c r="E194" i="2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E229" i="2"/>
  <c r="E230" i="2"/>
  <c r="F230" i="2" s="1"/>
  <c r="E231" i="2"/>
  <c r="F231" i="2" s="1"/>
  <c r="E232" i="2"/>
  <c r="F232" i="2" s="1"/>
  <c r="E233" i="2"/>
  <c r="F233" i="2" s="1"/>
  <c r="E234" i="2"/>
  <c r="E235" i="2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E245" i="2"/>
  <c r="E246" i="2"/>
  <c r="E247" i="2"/>
  <c r="E248" i="2"/>
  <c r="E249" i="2"/>
  <c r="F249" i="2" s="1"/>
  <c r="E250" i="2"/>
  <c r="F250" i="2" s="1"/>
  <c r="E251" i="2"/>
  <c r="E252" i="2"/>
  <c r="E253" i="2"/>
  <c r="E254" i="2"/>
  <c r="E255" i="2"/>
  <c r="F255" i="2" s="1"/>
  <c r="E256" i="2"/>
  <c r="F256" i="2" s="1"/>
  <c r="E257" i="2"/>
  <c r="E258" i="2"/>
  <c r="F258" i="2" s="1"/>
  <c r="E259" i="2"/>
  <c r="F259" i="2" s="1"/>
  <c r="E260" i="2"/>
  <c r="F260" i="2" s="1"/>
  <c r="E261" i="2"/>
  <c r="E262" i="2"/>
  <c r="E263" i="2"/>
  <c r="F263" i="2" s="1"/>
  <c r="E264" i="2"/>
  <c r="F264" i="2" s="1"/>
  <c r="E265" i="2"/>
  <c r="E266" i="2"/>
  <c r="E267" i="2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E277" i="2"/>
  <c r="E278" i="2"/>
  <c r="E279" i="2"/>
  <c r="E280" i="2"/>
  <c r="E281" i="2"/>
  <c r="F281" i="2" s="1"/>
  <c r="E282" i="2"/>
  <c r="F282" i="2" s="1"/>
  <c r="E283" i="2"/>
  <c r="F283" i="2" s="1"/>
  <c r="E284" i="2"/>
  <c r="F284" i="2" s="1"/>
  <c r="E285" i="2"/>
  <c r="E286" i="2"/>
  <c r="E287" i="2"/>
  <c r="E288" i="2"/>
  <c r="E289" i="2"/>
  <c r="E290" i="2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E300" i="2"/>
  <c r="E301" i="2"/>
  <c r="E302" i="2"/>
  <c r="E303" i="2"/>
  <c r="E304" i="2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E311" i="2"/>
  <c r="E312" i="2"/>
  <c r="E313" i="2"/>
  <c r="E314" i="2"/>
  <c r="E315" i="2"/>
  <c r="E316" i="2"/>
  <c r="E317" i="2"/>
  <c r="E318" i="2"/>
  <c r="E319" i="2"/>
  <c r="E320" i="2"/>
  <c r="E321" i="2"/>
  <c r="F321" i="2" s="1"/>
  <c r="E322" i="2"/>
  <c r="F322" i="2" s="1"/>
  <c r="E323" i="2"/>
  <c r="E324" i="2"/>
  <c r="F324" i="2" s="1"/>
  <c r="E325" i="2"/>
  <c r="E326" i="2"/>
  <c r="E327" i="2"/>
  <c r="E328" i="2"/>
  <c r="F328" i="2" s="1"/>
  <c r="E329" i="2"/>
  <c r="F329" i="2" s="1"/>
  <c r="E330" i="2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E344" i="2"/>
  <c r="F344" i="2" s="1"/>
  <c r="E345" i="2"/>
  <c r="F345" i="2" s="1"/>
  <c r="E346" i="2"/>
  <c r="F346" i="2" s="1"/>
  <c r="E347" i="2"/>
  <c r="F347" i="2" s="1"/>
  <c r="E348" i="2"/>
  <c r="E349" i="2"/>
  <c r="F349" i="2" s="1"/>
  <c r="E350" i="2"/>
  <c r="F350" i="2" s="1"/>
  <c r="E351" i="2"/>
  <c r="F351" i="2" s="1"/>
  <c r="E352" i="2"/>
  <c r="F352" i="2" s="1"/>
  <c r="E353" i="2"/>
  <c r="E354" i="2"/>
  <c r="F354" i="2" s="1"/>
  <c r="E355" i="2"/>
  <c r="F355" i="2" s="1"/>
  <c r="E356" i="2"/>
  <c r="E357" i="2"/>
  <c r="E358" i="2"/>
  <c r="E359" i="2"/>
  <c r="E360" i="2"/>
  <c r="E361" i="2"/>
  <c r="E362" i="2"/>
  <c r="E363" i="2"/>
  <c r="F363" i="2" s="1"/>
  <c r="E364" i="2"/>
  <c r="E365" i="2"/>
  <c r="E366" i="2"/>
  <c r="E367" i="2"/>
  <c r="E368" i="2"/>
  <c r="E369" i="2"/>
  <c r="E370" i="2"/>
  <c r="E371" i="2"/>
  <c r="E372" i="2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E383" i="2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E391" i="2"/>
  <c r="F391" i="2" s="1"/>
  <c r="E392" i="2"/>
  <c r="F392" i="2" s="1"/>
  <c r="E393" i="2"/>
  <c r="F393" i="2" s="1"/>
  <c r="E394" i="2"/>
  <c r="E395" i="2"/>
  <c r="E396" i="2"/>
  <c r="F396" i="2" s="1"/>
  <c r="E397" i="2"/>
  <c r="F397" i="2" s="1"/>
  <c r="E398" i="2"/>
  <c r="F398" i="2" s="1"/>
  <c r="E399" i="2"/>
  <c r="F399" i="2" s="1"/>
  <c r="E400" i="2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E411" i="2"/>
  <c r="E412" i="2"/>
  <c r="E413" i="2"/>
  <c r="E414" i="2"/>
  <c r="F414" i="2" s="1"/>
  <c r="E415" i="2"/>
  <c r="F415" i="2" s="1"/>
  <c r="E416" i="2"/>
  <c r="F416" i="2" s="1"/>
  <c r="E417" i="2"/>
  <c r="F417" i="2" s="1"/>
  <c r="E418" i="2"/>
  <c r="E419" i="2"/>
  <c r="E420" i="2"/>
  <c r="E421" i="2"/>
  <c r="E422" i="2"/>
  <c r="E423" i="2"/>
  <c r="E424" i="2"/>
  <c r="E425" i="2"/>
  <c r="E426" i="2"/>
  <c r="F426" i="2" s="1"/>
  <c r="E427" i="2"/>
  <c r="F427" i="2" s="1"/>
  <c r="E428" i="2"/>
  <c r="F428" i="2" s="1"/>
  <c r="E429" i="2"/>
  <c r="F429" i="2" s="1"/>
  <c r="E430" i="2"/>
  <c r="E431" i="2"/>
  <c r="E432" i="2"/>
  <c r="E433" i="2"/>
  <c r="E434" i="2"/>
  <c r="E435" i="2"/>
  <c r="E436" i="2"/>
  <c r="E437" i="2"/>
  <c r="E438" i="2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E445" i="2"/>
  <c r="E446" i="2"/>
  <c r="E447" i="2"/>
  <c r="E448" i="2"/>
  <c r="F448" i="2" s="1"/>
  <c r="E449" i="2"/>
  <c r="E450" i="2"/>
  <c r="F450" i="2" s="1"/>
  <c r="E451" i="2"/>
  <c r="F451" i="2" s="1"/>
  <c r="E452" i="2"/>
  <c r="F452" i="2" s="1"/>
  <c r="E453" i="2"/>
  <c r="F453" i="2" s="1"/>
  <c r="E454" i="2"/>
  <c r="E455" i="2"/>
  <c r="E456" i="2"/>
  <c r="E457" i="2"/>
  <c r="E458" i="2"/>
  <c r="E459" i="2"/>
  <c r="E460" i="2"/>
  <c r="E461" i="2"/>
  <c r="E462" i="2"/>
  <c r="E463" i="2"/>
  <c r="F463" i="2" s="1"/>
  <c r="E464" i="2"/>
  <c r="E465" i="2"/>
  <c r="E466" i="2"/>
  <c r="E467" i="2"/>
  <c r="E468" i="2"/>
  <c r="E469" i="2"/>
  <c r="E470" i="2"/>
  <c r="E471" i="2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E483" i="2"/>
  <c r="E484" i="2"/>
  <c r="E485" i="2"/>
  <c r="E486" i="2"/>
  <c r="E487" i="2"/>
  <c r="E488" i="2"/>
  <c r="E489" i="2"/>
  <c r="F489" i="2" s="1"/>
  <c r="E490" i="2"/>
  <c r="E491" i="2"/>
  <c r="E492" i="2"/>
  <c r="E493" i="2"/>
  <c r="E494" i="2"/>
  <c r="E495" i="2"/>
  <c r="E496" i="2"/>
  <c r="E497" i="2"/>
  <c r="E498" i="2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E511" i="2"/>
  <c r="E512" i="2"/>
  <c r="F512" i="2" s="1"/>
  <c r="E513" i="2"/>
  <c r="F513" i="2" s="1"/>
  <c r="E514" i="2"/>
  <c r="F514" i="2" s="1"/>
  <c r="E515" i="2"/>
  <c r="E516" i="2"/>
  <c r="E517" i="2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E530" i="2"/>
  <c r="F530" i="2" s="1"/>
  <c r="E531" i="2"/>
  <c r="F531" i="2" s="1"/>
  <c r="E532" i="2"/>
  <c r="E533" i="2"/>
  <c r="E534" i="2"/>
  <c r="E535" i="2"/>
  <c r="E536" i="2"/>
  <c r="E537" i="2"/>
  <c r="F537" i="2" s="1"/>
  <c r="E538" i="2"/>
  <c r="F538" i="2" s="1"/>
  <c r="E539" i="2"/>
  <c r="E540" i="2"/>
  <c r="E541" i="2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E550" i="2"/>
  <c r="E551" i="2"/>
  <c r="E552" i="2"/>
  <c r="E553" i="2"/>
  <c r="E554" i="2"/>
  <c r="E555" i="2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E565" i="2"/>
  <c r="E566" i="2"/>
  <c r="E567" i="2"/>
  <c r="E568" i="2"/>
  <c r="E569" i="2"/>
  <c r="E570" i="2"/>
  <c r="E571" i="2"/>
  <c r="E572" i="2"/>
  <c r="E573" i="2"/>
  <c r="F573" i="2" s="1"/>
  <c r="E574" i="2"/>
  <c r="F574" i="2" s="1"/>
  <c r="E575" i="2"/>
  <c r="E576" i="2"/>
  <c r="F576" i="2" s="1"/>
  <c r="E577" i="2"/>
  <c r="F577" i="2" s="1"/>
  <c r="E578" i="2"/>
  <c r="F578" i="2" s="1"/>
  <c r="E579" i="2"/>
  <c r="F579" i="2" s="1"/>
  <c r="E580" i="2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E588" i="2"/>
  <c r="E589" i="2"/>
  <c r="E590" i="2"/>
  <c r="E591" i="2"/>
  <c r="E592" i="2"/>
  <c r="E593" i="2"/>
  <c r="E594" i="2"/>
  <c r="E595" i="2"/>
  <c r="F595" i="2" s="1"/>
  <c r="E596" i="2"/>
  <c r="F596" i="2" s="1"/>
  <c r="E597" i="2"/>
  <c r="E598" i="2"/>
  <c r="E599" i="2"/>
  <c r="E600" i="2"/>
  <c r="E601" i="2"/>
  <c r="E602" i="2"/>
  <c r="E603" i="2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E612" i="2"/>
  <c r="E613" i="2"/>
  <c r="E614" i="2"/>
  <c r="E615" i="2"/>
  <c r="E616" i="2"/>
  <c r="E617" i="2"/>
  <c r="E618" i="2"/>
  <c r="E619" i="2"/>
  <c r="F619" i="2" s="1"/>
  <c r="E620" i="2"/>
  <c r="F620" i="2" s="1"/>
  <c r="E621" i="2"/>
  <c r="F621" i="2" s="1"/>
  <c r="E622" i="2"/>
  <c r="E623" i="2"/>
  <c r="E624" i="2"/>
  <c r="E625" i="2"/>
  <c r="E626" i="2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E637" i="2"/>
  <c r="E638" i="2"/>
  <c r="E639" i="2"/>
  <c r="F639" i="2" s="1"/>
  <c r="E640" i="2"/>
  <c r="F640" i="2" s="1"/>
  <c r="E641" i="2"/>
  <c r="F641" i="2" s="1"/>
  <c r="E642" i="2"/>
  <c r="F642" i="2" s="1"/>
  <c r="E643" i="2"/>
  <c r="E644" i="2"/>
  <c r="F644" i="2" s="1"/>
  <c r="E645" i="2"/>
  <c r="E646" i="2"/>
  <c r="E647" i="2"/>
  <c r="E648" i="2"/>
  <c r="E649" i="2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E660" i="2"/>
  <c r="E661" i="2"/>
  <c r="E662" i="2"/>
  <c r="E663" i="2"/>
  <c r="F663" i="2" s="1"/>
  <c r="E664" i="2"/>
  <c r="E665" i="2"/>
  <c r="F665" i="2" s="1"/>
  <c r="E666" i="2"/>
  <c r="E667" i="2"/>
  <c r="F667" i="2" s="1"/>
  <c r="E668" i="2"/>
  <c r="F668" i="2" s="1"/>
  <c r="E669" i="2"/>
  <c r="F669" i="2" s="1"/>
  <c r="E670" i="2"/>
  <c r="E671" i="2"/>
  <c r="E672" i="2"/>
  <c r="E673" i="2"/>
  <c r="E674" i="2"/>
  <c r="F674" i="2" s="1"/>
  <c r="E675" i="2"/>
  <c r="F675" i="2" s="1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E685" i="2"/>
  <c r="E686" i="2"/>
  <c r="E687" i="2"/>
  <c r="E688" i="2"/>
  <c r="E689" i="2"/>
  <c r="F689" i="2" s="1"/>
  <c r="E690" i="2"/>
  <c r="F690" i="2" s="1"/>
  <c r="E691" i="2"/>
  <c r="F691" i="2" s="1"/>
  <c r="E692" i="2"/>
  <c r="F692" i="2" s="1"/>
  <c r="E693" i="2"/>
  <c r="E694" i="2"/>
  <c r="E695" i="2"/>
  <c r="E696" i="2"/>
  <c r="E697" i="2"/>
  <c r="E698" i="2"/>
  <c r="F698" i="2" s="1"/>
  <c r="E699" i="2"/>
  <c r="F699" i="2" s="1"/>
  <c r="E700" i="2"/>
  <c r="F700" i="2" s="1"/>
  <c r="E701" i="2"/>
  <c r="F701" i="2" s="1"/>
  <c r="E702" i="2"/>
  <c r="E703" i="2"/>
  <c r="E704" i="2"/>
  <c r="F704" i="2" s="1"/>
  <c r="E705" i="2"/>
  <c r="F705" i="2" s="1"/>
  <c r="E706" i="2"/>
  <c r="F706" i="2" s="1"/>
  <c r="E707" i="2"/>
  <c r="F707" i="2" s="1"/>
  <c r="E708" i="2"/>
  <c r="E709" i="2"/>
  <c r="E710" i="2"/>
  <c r="E711" i="2"/>
  <c r="E712" i="2"/>
  <c r="E713" i="2"/>
  <c r="E714" i="2"/>
  <c r="F714" i="2" s="1"/>
  <c r="E715" i="2"/>
  <c r="E716" i="2"/>
  <c r="F716" i="2" s="1"/>
  <c r="E717" i="2"/>
  <c r="E718" i="2"/>
  <c r="E719" i="2"/>
  <c r="E720" i="2"/>
  <c r="E721" i="2"/>
  <c r="F721" i="2" s="1"/>
  <c r="J2" i="2" l="1"/>
  <c r="F410" i="2"/>
  <c r="F411" i="2" s="1"/>
  <c r="F330" i="2"/>
  <c r="F114" i="2"/>
  <c r="F115" i="2" s="1"/>
  <c r="F116" i="2" s="1"/>
  <c r="F117" i="2" s="1"/>
  <c r="F118" i="2" s="1"/>
  <c r="F119" i="2" s="1"/>
  <c r="F120" i="2" s="1"/>
  <c r="F121" i="2" s="1"/>
  <c r="F394" i="2"/>
  <c r="F395" i="2" s="1"/>
  <c r="F490" i="2"/>
  <c r="F491" i="2" s="1"/>
  <c r="F418" i="2"/>
  <c r="F419" i="2" s="1"/>
  <c r="F234" i="2"/>
  <c r="F235" i="2" s="1"/>
  <c r="F715" i="2"/>
  <c r="F659" i="2"/>
  <c r="F643" i="2"/>
  <c r="F611" i="2"/>
  <c r="F587" i="2"/>
  <c r="F539" i="2"/>
  <c r="F540" i="2" s="1"/>
  <c r="F541" i="2" s="1"/>
  <c r="F515" i="2"/>
  <c r="F323" i="2"/>
  <c r="F299" i="2"/>
  <c r="F300" i="2" s="1"/>
  <c r="F301" i="2" s="1"/>
  <c r="F302" i="2" s="1"/>
  <c r="F303" i="2" s="1"/>
  <c r="F304" i="2" s="1"/>
  <c r="F74" i="2"/>
  <c r="F75" i="2" s="1"/>
  <c r="F228" i="2"/>
  <c r="F229" i="2" s="1"/>
  <c r="F257" i="2"/>
  <c r="F504" i="2"/>
  <c r="F464" i="2"/>
  <c r="F465" i="2" s="1"/>
  <c r="F466" i="2" s="1"/>
  <c r="F467" i="2" s="1"/>
  <c r="F468" i="2" s="1"/>
  <c r="F469" i="2" s="1"/>
  <c r="F470" i="2" s="1"/>
  <c r="F471" i="2" s="1"/>
  <c r="F400" i="2"/>
  <c r="F184" i="2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68" i="2"/>
  <c r="F169" i="2" s="1"/>
  <c r="F170" i="2" s="1"/>
  <c r="F171" i="2" s="1"/>
  <c r="F172" i="2" s="1"/>
  <c r="F353" i="2"/>
  <c r="F265" i="2"/>
  <c r="F266" i="2" s="1"/>
  <c r="F267" i="2" s="1"/>
  <c r="F49" i="2"/>
  <c r="F664" i="2"/>
  <c r="F575" i="2"/>
  <c r="F343" i="2"/>
  <c r="F127" i="2"/>
  <c r="F109" i="2"/>
  <c r="F390" i="2"/>
  <c r="F182" i="2"/>
  <c r="F645" i="2"/>
  <c r="F646" i="2" s="1"/>
  <c r="F647" i="2" s="1"/>
  <c r="F648" i="2" s="1"/>
  <c r="F649" i="2" s="1"/>
  <c r="F597" i="2"/>
  <c r="F598" i="2" s="1"/>
  <c r="F599" i="2" s="1"/>
  <c r="F600" i="2" s="1"/>
  <c r="F601" i="2" s="1"/>
  <c r="F602" i="2" s="1"/>
  <c r="F603" i="2" s="1"/>
  <c r="F549" i="2"/>
  <c r="F550" i="2" s="1"/>
  <c r="F551" i="2" s="1"/>
  <c r="F552" i="2" s="1"/>
  <c r="F553" i="2" s="1"/>
  <c r="F554" i="2" s="1"/>
  <c r="F555" i="2" s="1"/>
  <c r="F325" i="2"/>
  <c r="F326" i="2" s="1"/>
  <c r="F327" i="2" s="1"/>
  <c r="F285" i="2"/>
  <c r="F286" i="2" s="1"/>
  <c r="F287" i="2" s="1"/>
  <c r="F288" i="2" s="1"/>
  <c r="F289" i="2" s="1"/>
  <c r="F290" i="2" s="1"/>
  <c r="F261" i="2"/>
  <c r="F262" i="2" s="1"/>
  <c r="F205" i="2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165" i="2"/>
  <c r="F166" i="2" s="1"/>
  <c r="F157" i="2"/>
  <c r="F158" i="2" s="1"/>
  <c r="F133" i="2"/>
  <c r="F134" i="2" s="1"/>
  <c r="F45" i="2"/>
  <c r="F46" i="2" s="1"/>
  <c r="F13" i="2"/>
  <c r="F14" i="2" s="1"/>
  <c r="F15" i="2" s="1"/>
  <c r="F16" i="2" s="1"/>
  <c r="F17" i="2" s="1"/>
  <c r="F18" i="2" s="1"/>
  <c r="F5" i="2"/>
  <c r="F6" i="2" s="1"/>
  <c r="F670" i="2"/>
  <c r="F671" i="2" s="1"/>
  <c r="F672" i="2" s="1"/>
  <c r="F673" i="2" s="1"/>
  <c r="F717" i="2"/>
  <c r="F718" i="2" s="1"/>
  <c r="F719" i="2" s="1"/>
  <c r="F720" i="2" s="1"/>
  <c r="F684" i="2"/>
  <c r="F685" i="2" s="1"/>
  <c r="F686" i="2" s="1"/>
  <c r="F687" i="2" s="1"/>
  <c r="F688" i="2" s="1"/>
  <c r="F636" i="2"/>
  <c r="F637" i="2" s="1"/>
  <c r="F638" i="2" s="1"/>
  <c r="F580" i="2"/>
  <c r="F532" i="2"/>
  <c r="F533" i="2" s="1"/>
  <c r="F534" i="2" s="1"/>
  <c r="F535" i="2" s="1"/>
  <c r="F536" i="2" s="1"/>
  <c r="F364" i="2"/>
  <c r="F365" i="2" s="1"/>
  <c r="F366" i="2" s="1"/>
  <c r="F367" i="2" s="1"/>
  <c r="F368" i="2" s="1"/>
  <c r="F369" i="2" s="1"/>
  <c r="F370" i="2" s="1"/>
  <c r="F371" i="2" s="1"/>
  <c r="F372" i="2" s="1"/>
  <c r="F356" i="2"/>
  <c r="F357" i="2" s="1"/>
  <c r="F358" i="2" s="1"/>
  <c r="F359" i="2" s="1"/>
  <c r="F360" i="2" s="1"/>
  <c r="F361" i="2" s="1"/>
  <c r="F362" i="2" s="1"/>
  <c r="F348" i="2"/>
  <c r="F244" i="2"/>
  <c r="F245" i="2" s="1"/>
  <c r="F246" i="2" s="1"/>
  <c r="F247" i="2" s="1"/>
  <c r="F248" i="2" s="1"/>
  <c r="F20" i="2"/>
  <c r="F21" i="2" s="1"/>
  <c r="F22" i="2" s="1"/>
  <c r="F23" i="2" s="1"/>
  <c r="F24" i="2" s="1"/>
  <c r="F86" i="2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693" i="2"/>
  <c r="F694" i="2" s="1"/>
  <c r="F695" i="2" s="1"/>
  <c r="F696" i="2" s="1"/>
  <c r="F697" i="2" s="1"/>
  <c r="F660" i="2"/>
  <c r="F661" i="2" s="1"/>
  <c r="F662" i="2" s="1"/>
  <c r="F612" i="2"/>
  <c r="F613" i="2" s="1"/>
  <c r="F614" i="2" s="1"/>
  <c r="F615" i="2" s="1"/>
  <c r="F616" i="2" s="1"/>
  <c r="F617" i="2" s="1"/>
  <c r="F618" i="2" s="1"/>
  <c r="F588" i="2"/>
  <c r="F589" i="2" s="1"/>
  <c r="F590" i="2" s="1"/>
  <c r="F591" i="2" s="1"/>
  <c r="F592" i="2" s="1"/>
  <c r="F593" i="2" s="1"/>
  <c r="F594" i="2" s="1"/>
  <c r="F482" i="2"/>
  <c r="F483" i="2" s="1"/>
  <c r="F484" i="2" s="1"/>
  <c r="F485" i="2" s="1"/>
  <c r="F486" i="2" s="1"/>
  <c r="F487" i="2" s="1"/>
  <c r="F488" i="2" s="1"/>
  <c r="F251" i="2"/>
  <c r="F252" i="2" s="1"/>
  <c r="F253" i="2" s="1"/>
  <c r="F254" i="2" s="1"/>
  <c r="F27" i="2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702" i="2"/>
  <c r="F703" i="2" s="1"/>
  <c r="F510" i="2"/>
  <c r="F511" i="2" s="1"/>
  <c r="F430" i="2"/>
  <c r="F431" i="2" s="1"/>
  <c r="F432" i="2" s="1"/>
  <c r="F433" i="2" s="1"/>
  <c r="F434" i="2" s="1"/>
  <c r="F435" i="2" s="1"/>
  <c r="F436" i="2" s="1"/>
  <c r="F437" i="2" s="1"/>
  <c r="F438" i="2" s="1"/>
  <c r="F110" i="2"/>
  <c r="F111" i="2" s="1"/>
  <c r="F492" i="2"/>
  <c r="F493" i="2" s="1"/>
  <c r="F494" i="2" s="1"/>
  <c r="F495" i="2" s="1"/>
  <c r="F496" i="2" s="1"/>
  <c r="F497" i="2" s="1"/>
  <c r="F498" i="2" s="1"/>
  <c r="F449" i="2"/>
  <c r="F420" i="2"/>
  <c r="F421" i="2" s="1"/>
  <c r="F422" i="2" s="1"/>
  <c r="F423" i="2" s="1"/>
  <c r="F424" i="2" s="1"/>
  <c r="F425" i="2" s="1"/>
  <c r="F412" i="2"/>
  <c r="F413" i="2" s="1"/>
  <c r="F382" i="2"/>
  <c r="F383" i="2" s="1"/>
  <c r="F142" i="2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666" i="2"/>
  <c r="F529" i="2"/>
  <c r="F310" i="2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56" i="2"/>
  <c r="F8" i="2"/>
  <c r="F708" i="2"/>
  <c r="F709" i="2" s="1"/>
  <c r="F710" i="2" s="1"/>
  <c r="F711" i="2" s="1"/>
  <c r="F712" i="2" s="1"/>
  <c r="F713" i="2" s="1"/>
  <c r="F516" i="2"/>
  <c r="F517" i="2" s="1"/>
  <c r="F444" i="2"/>
  <c r="F445" i="2" s="1"/>
  <c r="F446" i="2" s="1"/>
  <c r="F447" i="2" s="1"/>
  <c r="F76" i="2"/>
  <c r="F77" i="2" s="1"/>
  <c r="F78" i="2" s="1"/>
  <c r="F79" i="2" s="1"/>
  <c r="F80" i="2" s="1"/>
  <c r="F81" i="2" s="1"/>
  <c r="F564" i="2"/>
  <c r="F565" i="2" s="1"/>
  <c r="F566" i="2" s="1"/>
  <c r="F567" i="2" s="1"/>
  <c r="F568" i="2" s="1"/>
  <c r="F569" i="2" s="1"/>
  <c r="F570" i="2" s="1"/>
  <c r="F571" i="2" s="1"/>
  <c r="F572" i="2" s="1"/>
  <c r="F454" i="2"/>
  <c r="F455" i="2" s="1"/>
  <c r="F456" i="2" s="1"/>
  <c r="F457" i="2" s="1"/>
  <c r="F458" i="2" s="1"/>
  <c r="F459" i="2" s="1"/>
  <c r="F460" i="2" s="1"/>
  <c r="F461" i="2" s="1"/>
  <c r="F462" i="2" s="1"/>
  <c r="F622" i="2"/>
  <c r="F623" i="2" s="1"/>
  <c r="F624" i="2" s="1"/>
  <c r="F625" i="2" s="1"/>
  <c r="F626" i="2" s="1"/>
  <c r="F276" i="2"/>
  <c r="F277" i="2" s="1"/>
  <c r="F278" i="2" s="1"/>
  <c r="F279" i="2" s="1"/>
  <c r="F280" i="2" s="1"/>
  <c r="J4" i="2" l="1"/>
  <c r="F173" i="2"/>
  <c r="F174" i="2" s="1"/>
  <c r="W4" i="2"/>
  <c r="W5" i="2" s="1"/>
  <c r="W9" i="2" s="1" a="1"/>
  <c r="W9" i="2" s="1"/>
  <c r="J5" i="2" l="1"/>
  <c r="W6" i="2" a="1"/>
  <c r="W6" i="2" s="1"/>
  <c r="W8" i="2" a="1"/>
  <c r="W8" i="2" s="1"/>
  <c r="W7" i="2" a="1"/>
  <c r="W7" i="2" s="1"/>
  <c r="J6" i="2" l="1"/>
  <c r="J7" i="2" l="1"/>
  <c r="J8" i="2" l="1"/>
  <c r="J9" i="2" l="1"/>
  <c r="J10" i="2" l="1"/>
  <c r="J11" i="2" l="1"/>
  <c r="J12" i="2" l="1"/>
  <c r="J13" i="2" l="1"/>
  <c r="J14" i="2" l="1"/>
  <c r="J15" i="2" l="1"/>
  <c r="J16" i="2" l="1"/>
  <c r="J17" i="2" l="1"/>
  <c r="J18" i="2" l="1"/>
  <c r="J19" i="2" l="1"/>
  <c r="J20" i="2" l="1"/>
  <c r="J21" i="2" l="1"/>
  <c r="J22" i="2" l="1"/>
  <c r="J23" i="2" l="1"/>
  <c r="J24" i="2" l="1"/>
  <c r="J25" i="2" l="1"/>
  <c r="J26" i="2" l="1"/>
  <c r="J27" i="2" l="1"/>
  <c r="J28" i="2" l="1"/>
  <c r="J29" i="2" l="1"/>
  <c r="J30" i="2" l="1"/>
  <c r="J31" i="2" l="1"/>
  <c r="J32" i="2" l="1"/>
  <c r="J33" i="2" l="1"/>
  <c r="J34" i="2" l="1"/>
  <c r="J35" i="2" l="1"/>
  <c r="J36" i="2" l="1"/>
  <c r="J37" i="2" l="1"/>
  <c r="J38" i="2" l="1"/>
  <c r="J39" i="2" l="1"/>
  <c r="J40" i="2" l="1"/>
  <c r="J41" i="2" l="1"/>
  <c r="J42" i="2" l="1"/>
  <c r="J43" i="2" l="1"/>
  <c r="J44" i="2" l="1"/>
  <c r="J45" i="2" l="1"/>
  <c r="J46" i="2" l="1"/>
  <c r="J47" i="2" l="1"/>
  <c r="J48" i="2" l="1"/>
  <c r="J49" i="2" l="1"/>
  <c r="J50" i="2" l="1"/>
  <c r="J51" i="2" l="1"/>
  <c r="J52" i="2" l="1"/>
  <c r="J53" i="2" l="1"/>
  <c r="J54" i="2" l="1"/>
  <c r="J55" i="2" l="1"/>
  <c r="J56" i="2" l="1"/>
  <c r="J57" i="2" l="1"/>
  <c r="J58" i="2" l="1"/>
  <c r="J59" i="2" l="1"/>
  <c r="J60" i="2" l="1"/>
  <c r="J61" i="2" l="1"/>
  <c r="J62" i="2" l="1"/>
  <c r="J63" i="2" l="1"/>
  <c r="J64" i="2" l="1"/>
  <c r="J65" i="2" l="1"/>
  <c r="J66" i="2" l="1"/>
  <c r="J67" i="2" l="1"/>
  <c r="J68" i="2" l="1"/>
  <c r="J69" i="2" l="1"/>
  <c r="J70" i="2" l="1"/>
  <c r="J71" i="2" l="1"/>
  <c r="J72" i="2" l="1"/>
  <c r="J73" i="2" l="1"/>
  <c r="J74" i="2" l="1"/>
  <c r="J75" i="2" l="1"/>
  <c r="J76" i="2" l="1"/>
  <c r="J77" i="2" l="1"/>
  <c r="J78" i="2" l="1"/>
  <c r="J79" i="2" l="1"/>
  <c r="J80" i="2" l="1"/>
  <c r="J81" i="2" l="1"/>
  <c r="J82" i="2" l="1"/>
  <c r="J83" i="2" l="1"/>
  <c r="J84" i="2" l="1"/>
  <c r="J85" i="2" l="1"/>
  <c r="J86" i="2" l="1"/>
  <c r="J87" i="2" l="1"/>
  <c r="J88" i="2" l="1"/>
  <c r="J89" i="2" l="1"/>
  <c r="J90" i="2" l="1"/>
  <c r="J91" i="2" l="1"/>
  <c r="J92" i="2" l="1"/>
  <c r="J93" i="2" l="1"/>
  <c r="J94" i="2" l="1"/>
  <c r="J95" i="2" l="1"/>
  <c r="J96" i="2" l="1"/>
  <c r="J97" i="2" l="1"/>
  <c r="J98" i="2" l="1"/>
  <c r="J99" i="2" l="1"/>
  <c r="J100" i="2" l="1"/>
  <c r="J101" i="2" l="1"/>
  <c r="J102" i="2" l="1"/>
  <c r="J103" i="2" l="1"/>
  <c r="J104" i="2" l="1"/>
  <c r="J105" i="2" l="1"/>
  <c r="J106" i="2" l="1"/>
  <c r="J107" i="2" l="1"/>
  <c r="J108" i="2" l="1"/>
  <c r="J109" i="2" l="1"/>
  <c r="J110" i="2" l="1"/>
  <c r="J111" i="2" l="1"/>
  <c r="J112" i="2" l="1"/>
  <c r="J113" i="2" l="1"/>
  <c r="J114" i="2" l="1"/>
  <c r="J115" i="2" l="1"/>
  <c r="J116" i="2" l="1"/>
  <c r="J117" i="2" l="1"/>
  <c r="J118" i="2" l="1"/>
  <c r="J119" i="2" l="1"/>
  <c r="J120" i="2" l="1"/>
  <c r="J121" i="2" l="1"/>
  <c r="J122" i="2" l="1"/>
  <c r="J123" i="2" l="1"/>
  <c r="J124" i="2" l="1"/>
  <c r="J125" i="2" l="1"/>
  <c r="J126" i="2" l="1"/>
  <c r="J127" i="2" l="1"/>
  <c r="J128" i="2" l="1"/>
  <c r="J129" i="2" l="1"/>
  <c r="J130" i="2" l="1"/>
  <c r="J131" i="2" l="1"/>
  <c r="J132" i="2" l="1"/>
  <c r="J133" i="2" l="1"/>
  <c r="J134" i="2" l="1"/>
  <c r="J135" i="2" l="1"/>
  <c r="J136" i="2" l="1"/>
  <c r="J137" i="2" l="1"/>
  <c r="J138" i="2" l="1"/>
  <c r="J139" i="2" l="1"/>
  <c r="J140" i="2" l="1"/>
  <c r="J141" i="2" l="1"/>
  <c r="J142" i="2" l="1"/>
  <c r="J143" i="2" l="1"/>
  <c r="J144" i="2" l="1"/>
  <c r="J145" i="2" l="1"/>
  <c r="J146" i="2" l="1"/>
  <c r="J147" i="2" l="1"/>
  <c r="J148" i="2" l="1"/>
  <c r="J149" i="2" l="1"/>
  <c r="J150" i="2" l="1"/>
  <c r="J151" i="2" l="1"/>
  <c r="J152" i="2" l="1"/>
  <c r="J153" i="2" l="1"/>
  <c r="J154" i="2" l="1"/>
  <c r="J155" i="2" l="1"/>
  <c r="J156" i="2" l="1"/>
  <c r="J157" i="2" l="1"/>
  <c r="J158" i="2" l="1"/>
  <c r="J159" i="2" l="1"/>
  <c r="J160" i="2" l="1"/>
  <c r="J161" i="2" l="1"/>
  <c r="J162" i="2" l="1"/>
  <c r="J163" i="2" l="1"/>
  <c r="J164" i="2" l="1"/>
  <c r="J165" i="2" l="1"/>
  <c r="J166" i="2" l="1"/>
  <c r="J167" i="2" l="1"/>
  <c r="J168" i="2" l="1"/>
  <c r="J169" i="2" l="1"/>
  <c r="J170" i="2" l="1"/>
  <c r="J171" i="2" l="1"/>
  <c r="J172" i="2" l="1"/>
  <c r="J173" i="2" l="1"/>
  <c r="J174" i="2" l="1"/>
  <c r="J175" i="2" l="1"/>
  <c r="J176" i="2" l="1"/>
  <c r="J177" i="2" l="1"/>
  <c r="J178" i="2" l="1"/>
  <c r="J179" i="2" l="1"/>
  <c r="J180" i="2" l="1"/>
  <c r="J181" i="2" l="1"/>
  <c r="J182" i="2" l="1"/>
  <c r="J183" i="2" l="1"/>
  <c r="J184" i="2" l="1"/>
  <c r="J185" i="2" l="1"/>
  <c r="J186" i="2" l="1"/>
  <c r="J187" i="2" l="1"/>
  <c r="J188" i="2" l="1"/>
  <c r="J189" i="2" l="1"/>
  <c r="J190" i="2" l="1"/>
  <c r="J191" i="2" l="1"/>
  <c r="J192" i="2" l="1"/>
  <c r="J193" i="2" l="1"/>
  <c r="J194" i="2" l="1"/>
  <c r="J195" i="2" l="1"/>
  <c r="J196" i="2" l="1"/>
  <c r="J197" i="2" l="1"/>
  <c r="J198" i="2" l="1"/>
  <c r="J199" i="2" l="1"/>
  <c r="J200" i="2" l="1"/>
  <c r="J201" i="2" l="1"/>
  <c r="J202" i="2" l="1"/>
  <c r="J203" i="2" l="1"/>
  <c r="J204" i="2" l="1"/>
  <c r="J205" i="2" l="1"/>
  <c r="J206" i="2" l="1"/>
  <c r="J207" i="2" l="1"/>
  <c r="J208" i="2" l="1"/>
  <c r="J209" i="2" l="1"/>
  <c r="J210" i="2" l="1"/>
  <c r="J211" i="2" l="1"/>
  <c r="J212" i="2" l="1"/>
  <c r="J213" i="2" l="1"/>
  <c r="J214" i="2" l="1"/>
  <c r="J215" i="2" l="1"/>
  <c r="J216" i="2" l="1"/>
  <c r="J217" i="2" l="1"/>
  <c r="J218" i="2" l="1"/>
  <c r="J219" i="2" l="1"/>
  <c r="J220" i="2" l="1"/>
  <c r="J221" i="2" l="1"/>
  <c r="J222" i="2" l="1"/>
  <c r="J223" i="2" l="1"/>
  <c r="J224" i="2" l="1"/>
  <c r="J225" i="2" l="1"/>
  <c r="J226" i="2" l="1"/>
  <c r="J227" i="2" l="1"/>
  <c r="J228" i="2" l="1"/>
  <c r="J229" i="2" l="1"/>
  <c r="J230" i="2" l="1"/>
  <c r="J231" i="2" l="1"/>
  <c r="J232" i="2" l="1"/>
  <c r="J233" i="2" l="1"/>
  <c r="J234" i="2" l="1"/>
  <c r="J235" i="2" l="1"/>
  <c r="J236" i="2" l="1"/>
  <c r="J237" i="2" l="1"/>
  <c r="J238" i="2" l="1"/>
  <c r="J239" i="2" l="1"/>
  <c r="J240" i="2" l="1"/>
  <c r="J241" i="2" l="1"/>
  <c r="J242" i="2" l="1"/>
  <c r="J243" i="2" l="1"/>
  <c r="J244" i="2" l="1"/>
  <c r="J245" i="2" l="1"/>
  <c r="J246" i="2" l="1"/>
  <c r="J247" i="2" l="1"/>
  <c r="J248" i="2" l="1"/>
  <c r="J249" i="2" l="1"/>
  <c r="J250" i="2" l="1"/>
  <c r="J251" i="2" l="1"/>
  <c r="J252" i="2" l="1"/>
  <c r="J253" i="2" l="1"/>
  <c r="J254" i="2" l="1"/>
  <c r="J255" i="2" l="1"/>
  <c r="J256" i="2" l="1"/>
  <c r="J257" i="2" l="1"/>
  <c r="J258" i="2" l="1"/>
  <c r="J259" i="2" l="1"/>
  <c r="J260" i="2" l="1"/>
  <c r="J261" i="2" l="1"/>
  <c r="J262" i="2" l="1"/>
  <c r="J263" i="2" l="1"/>
  <c r="J264" i="2" l="1"/>
  <c r="J265" i="2" l="1"/>
  <c r="J266" i="2" l="1"/>
  <c r="J267" i="2" l="1"/>
  <c r="J268" i="2" l="1"/>
  <c r="J269" i="2" l="1"/>
  <c r="J270" i="2" l="1"/>
  <c r="J271" i="2" l="1"/>
  <c r="J272" i="2" l="1"/>
  <c r="J273" i="2" l="1"/>
  <c r="J274" i="2" l="1"/>
  <c r="J275" i="2" l="1"/>
  <c r="J276" i="2" l="1"/>
  <c r="J277" i="2" l="1"/>
  <c r="J278" i="2" l="1"/>
  <c r="J279" i="2" l="1"/>
  <c r="J280" i="2" l="1"/>
  <c r="J281" i="2" l="1"/>
  <c r="J282" i="2" l="1"/>
  <c r="J283" i="2" l="1"/>
  <c r="J284" i="2" l="1"/>
  <c r="J285" i="2" l="1"/>
  <c r="J286" i="2" l="1"/>
  <c r="J287" i="2" l="1"/>
  <c r="J288" i="2" l="1"/>
  <c r="J289" i="2" l="1"/>
  <c r="J290" i="2" l="1"/>
  <c r="J291" i="2" l="1"/>
  <c r="J292" i="2" l="1"/>
  <c r="J293" i="2" l="1"/>
  <c r="J294" i="2" l="1"/>
  <c r="J295" i="2" l="1"/>
  <c r="J296" i="2" l="1"/>
  <c r="J297" i="2" l="1"/>
  <c r="J298" i="2" l="1"/>
  <c r="J299" i="2" l="1"/>
  <c r="J300" i="2" l="1"/>
  <c r="J301" i="2" l="1"/>
  <c r="J302" i="2" l="1"/>
  <c r="J303" i="2" l="1"/>
  <c r="J304" i="2" l="1"/>
  <c r="J305" i="2" l="1"/>
  <c r="J306" i="2" l="1"/>
  <c r="J307" i="2" l="1"/>
  <c r="J308" i="2" l="1"/>
  <c r="J309" i="2" l="1"/>
  <c r="J310" i="2" l="1"/>
  <c r="J311" i="2" l="1"/>
  <c r="J312" i="2" l="1"/>
  <c r="J313" i="2" l="1"/>
  <c r="J314" i="2" l="1"/>
  <c r="J315" i="2" l="1"/>
  <c r="J316" i="2" l="1"/>
  <c r="J317" i="2" l="1"/>
  <c r="J318" i="2" l="1"/>
  <c r="J319" i="2" l="1"/>
  <c r="J320" i="2" l="1"/>
  <c r="J321" i="2" l="1"/>
  <c r="J322" i="2" l="1"/>
  <c r="J323" i="2" l="1"/>
  <c r="J324" i="2" l="1"/>
  <c r="J325" i="2" l="1"/>
  <c r="J326" i="2" l="1"/>
  <c r="J327" i="2" l="1"/>
  <c r="J328" i="2" l="1"/>
  <c r="J329" i="2" l="1"/>
  <c r="J330" i="2" l="1"/>
  <c r="J331" i="2" l="1"/>
  <c r="J332" i="2" l="1"/>
  <c r="J333" i="2" l="1"/>
  <c r="J334" i="2" l="1"/>
  <c r="J335" i="2" l="1"/>
  <c r="J336" i="2" l="1"/>
  <c r="J337" i="2" l="1"/>
  <c r="J338" i="2" l="1"/>
  <c r="J339" i="2" l="1"/>
  <c r="J340" i="2" l="1"/>
  <c r="J341" i="2" l="1"/>
  <c r="J342" i="2" l="1"/>
  <c r="J343" i="2" l="1"/>
  <c r="J344" i="2" l="1"/>
  <c r="J345" i="2" l="1"/>
  <c r="J346" i="2" l="1"/>
  <c r="J347" i="2" l="1"/>
  <c r="J348" i="2" l="1"/>
  <c r="J349" i="2" l="1"/>
  <c r="J350" i="2" l="1"/>
  <c r="J351" i="2" l="1"/>
  <c r="J352" i="2" l="1"/>
  <c r="J353" i="2" l="1"/>
  <c r="J354" i="2" l="1"/>
  <c r="J355" i="2" l="1"/>
  <c r="J356" i="2" l="1"/>
  <c r="J357" i="2" l="1"/>
  <c r="J358" i="2" l="1"/>
  <c r="J359" i="2" l="1"/>
  <c r="J360" i="2" l="1"/>
  <c r="J361" i="2" l="1"/>
  <c r="J362" i="2" l="1"/>
  <c r="J363" i="2" l="1"/>
  <c r="J364" i="2" l="1"/>
  <c r="J365" i="2" l="1"/>
  <c r="J366" i="2" l="1"/>
  <c r="J367" i="2" l="1"/>
  <c r="J368" i="2" l="1"/>
  <c r="J369" i="2" l="1"/>
  <c r="J370" i="2" l="1"/>
  <c r="J371" i="2" l="1"/>
  <c r="J372" i="2" l="1"/>
  <c r="J373" i="2" l="1"/>
  <c r="J374" i="2" l="1"/>
  <c r="J375" i="2" l="1"/>
  <c r="J376" i="2" l="1"/>
  <c r="J377" i="2" l="1"/>
  <c r="J378" i="2" l="1"/>
  <c r="J379" i="2" l="1"/>
  <c r="J380" i="2" l="1"/>
  <c r="J381" i="2" l="1"/>
  <c r="J382" i="2" l="1"/>
  <c r="J383" i="2" l="1"/>
  <c r="J384" i="2" l="1"/>
  <c r="J385" i="2" l="1"/>
  <c r="J386" i="2" l="1"/>
  <c r="J387" i="2" l="1"/>
  <c r="J388" i="2" l="1"/>
  <c r="J389" i="2" l="1"/>
  <c r="J390" i="2" l="1"/>
  <c r="J391" i="2" l="1"/>
  <c r="J392" i="2" l="1"/>
  <c r="J393" i="2" l="1"/>
  <c r="J394" i="2" l="1"/>
  <c r="J395" i="2" l="1"/>
  <c r="J396" i="2" l="1"/>
  <c r="J397" i="2" l="1"/>
  <c r="J398" i="2" l="1"/>
  <c r="J399" i="2" l="1"/>
  <c r="J400" i="2" l="1"/>
  <c r="J401" i="2" l="1"/>
  <c r="J402" i="2" l="1"/>
  <c r="J403" i="2" l="1"/>
  <c r="J404" i="2" l="1"/>
  <c r="J405" i="2" l="1"/>
  <c r="J406" i="2" l="1"/>
  <c r="J407" i="2" l="1"/>
  <c r="J408" i="2" l="1"/>
  <c r="J409" i="2" l="1"/>
  <c r="J410" i="2" l="1"/>
  <c r="J411" i="2" l="1"/>
  <c r="J412" i="2" l="1"/>
  <c r="J413" i="2" l="1"/>
  <c r="J414" i="2" l="1"/>
  <c r="J415" i="2" l="1"/>
  <c r="J416" i="2" l="1"/>
  <c r="J417" i="2" l="1"/>
  <c r="J418" i="2" l="1"/>
  <c r="J419" i="2" l="1"/>
  <c r="J420" i="2" l="1"/>
  <c r="J421" i="2" l="1"/>
  <c r="J422" i="2" l="1"/>
  <c r="J423" i="2" l="1"/>
  <c r="J424" i="2" l="1"/>
  <c r="J425" i="2" l="1"/>
  <c r="J426" i="2" l="1"/>
  <c r="J427" i="2" l="1"/>
  <c r="J428" i="2" l="1"/>
  <c r="J429" i="2" l="1"/>
  <c r="J430" i="2" l="1"/>
  <c r="J431" i="2" l="1"/>
  <c r="J432" i="2" l="1"/>
  <c r="J433" i="2" l="1"/>
  <c r="J434" i="2" l="1"/>
  <c r="J435" i="2" l="1"/>
  <c r="J436" i="2" l="1"/>
  <c r="J437" i="2" l="1"/>
  <c r="J438" i="2" l="1"/>
  <c r="J439" i="2" l="1"/>
  <c r="J440" i="2" l="1"/>
  <c r="J441" i="2" l="1"/>
  <c r="J442" i="2" l="1"/>
  <c r="J443" i="2" l="1"/>
  <c r="J444" i="2" l="1"/>
  <c r="J445" i="2" l="1"/>
  <c r="J446" i="2" l="1"/>
  <c r="J447" i="2" l="1"/>
  <c r="J448" i="2" l="1"/>
  <c r="J449" i="2" l="1"/>
  <c r="J450" i="2" l="1"/>
  <c r="J451" i="2" l="1"/>
  <c r="J452" i="2" l="1"/>
  <c r="J453" i="2" l="1"/>
  <c r="J454" i="2" l="1"/>
  <c r="J455" i="2" l="1"/>
  <c r="J456" i="2" l="1"/>
  <c r="J457" i="2" l="1"/>
  <c r="J458" i="2" l="1"/>
  <c r="J459" i="2" l="1"/>
  <c r="J460" i="2" l="1"/>
  <c r="J461" i="2" l="1"/>
  <c r="J462" i="2" l="1"/>
  <c r="J463" i="2" l="1"/>
  <c r="J464" i="2" l="1"/>
  <c r="J465" i="2" l="1"/>
  <c r="J466" i="2" l="1"/>
  <c r="J467" i="2" l="1"/>
  <c r="J468" i="2" l="1"/>
  <c r="J469" i="2" l="1"/>
  <c r="J470" i="2" l="1"/>
  <c r="J471" i="2" l="1"/>
  <c r="J472" i="2" l="1"/>
  <c r="J473" i="2" l="1"/>
  <c r="J474" i="2" l="1"/>
  <c r="J475" i="2" l="1"/>
  <c r="J476" i="2" l="1"/>
  <c r="J477" i="2" l="1"/>
  <c r="J478" i="2" l="1"/>
  <c r="J479" i="2" l="1"/>
  <c r="J480" i="2" l="1"/>
  <c r="J481" i="2" l="1"/>
  <c r="J482" i="2" l="1"/>
  <c r="J483" i="2" l="1"/>
  <c r="J484" i="2" l="1"/>
  <c r="J485" i="2" l="1"/>
  <c r="J486" i="2" l="1"/>
  <c r="J487" i="2" l="1"/>
  <c r="J488" i="2" l="1"/>
  <c r="J489" i="2" l="1"/>
  <c r="J490" i="2" l="1"/>
  <c r="J491" i="2" l="1"/>
  <c r="J492" i="2" l="1"/>
  <c r="J493" i="2" l="1"/>
  <c r="J494" i="2" l="1"/>
  <c r="J495" i="2" l="1"/>
  <c r="J496" i="2" l="1"/>
  <c r="J497" i="2" l="1"/>
  <c r="J498" i="2" l="1"/>
  <c r="J499" i="2" l="1"/>
  <c r="J500" i="2" l="1"/>
  <c r="J501" i="2" l="1"/>
  <c r="J502" i="2" l="1"/>
  <c r="J503" i="2" l="1"/>
  <c r="J504" i="2" l="1"/>
  <c r="J505" i="2" l="1"/>
  <c r="J506" i="2" l="1"/>
  <c r="J507" i="2" l="1"/>
  <c r="J508" i="2" l="1"/>
  <c r="J509" i="2" l="1"/>
  <c r="J510" i="2" l="1"/>
  <c r="J511" i="2" l="1"/>
  <c r="J512" i="2" l="1"/>
  <c r="J513" i="2" l="1"/>
  <c r="J514" i="2" l="1"/>
  <c r="J515" i="2" l="1"/>
  <c r="J516" i="2" l="1"/>
  <c r="J517" i="2" l="1"/>
  <c r="J518" i="2" l="1"/>
  <c r="J519" i="2" l="1"/>
  <c r="J520" i="2" l="1"/>
  <c r="J521" i="2" l="1"/>
  <c r="J522" i="2" l="1"/>
  <c r="J523" i="2" l="1"/>
  <c r="J524" i="2" l="1"/>
  <c r="J525" i="2" l="1"/>
  <c r="J526" i="2" l="1"/>
  <c r="J527" i="2" l="1"/>
  <c r="J528" i="2" l="1"/>
  <c r="J529" i="2" l="1"/>
  <c r="J530" i="2" l="1"/>
  <c r="J531" i="2" l="1"/>
  <c r="J532" i="2" l="1"/>
  <c r="J533" i="2" l="1"/>
  <c r="J534" i="2" l="1"/>
  <c r="J535" i="2" l="1"/>
  <c r="J536" i="2" l="1"/>
  <c r="J537" i="2" l="1"/>
  <c r="J538" i="2" l="1"/>
  <c r="J539" i="2" l="1"/>
  <c r="J540" i="2" l="1"/>
  <c r="J541" i="2" l="1"/>
  <c r="J542" i="2" l="1"/>
  <c r="J543" i="2" l="1"/>
  <c r="J544" i="2" l="1"/>
  <c r="J545" i="2" l="1"/>
  <c r="J546" i="2" l="1"/>
  <c r="J547" i="2" l="1"/>
  <c r="J548" i="2" l="1"/>
  <c r="J549" i="2" l="1"/>
  <c r="J550" i="2" l="1"/>
  <c r="J551" i="2" l="1"/>
  <c r="J552" i="2" l="1"/>
  <c r="J553" i="2" l="1"/>
  <c r="J554" i="2" l="1"/>
  <c r="J555" i="2" l="1"/>
  <c r="J556" i="2" l="1"/>
  <c r="J557" i="2" l="1"/>
  <c r="J558" i="2" l="1"/>
  <c r="J559" i="2" l="1"/>
  <c r="J560" i="2" l="1"/>
  <c r="J561" i="2" l="1"/>
  <c r="J562" i="2" l="1"/>
  <c r="J563" i="2" l="1"/>
  <c r="J564" i="2" l="1"/>
  <c r="J565" i="2" l="1"/>
  <c r="J566" i="2" l="1"/>
  <c r="J567" i="2" l="1"/>
  <c r="J568" i="2" l="1"/>
  <c r="J569" i="2" l="1"/>
  <c r="J570" i="2" l="1"/>
  <c r="J571" i="2" l="1"/>
  <c r="J572" i="2" l="1"/>
  <c r="J573" i="2" l="1"/>
  <c r="J574" i="2" l="1"/>
  <c r="J575" i="2" l="1"/>
  <c r="J576" i="2" l="1"/>
  <c r="J577" i="2" l="1"/>
  <c r="J578" i="2" l="1"/>
  <c r="J579" i="2" l="1"/>
  <c r="J580" i="2" l="1"/>
  <c r="J581" i="2" l="1"/>
  <c r="J582" i="2" l="1"/>
  <c r="J583" i="2" l="1"/>
  <c r="J584" i="2" l="1"/>
  <c r="J585" i="2" l="1"/>
  <c r="J586" i="2" l="1"/>
  <c r="J587" i="2" l="1"/>
  <c r="J588" i="2" l="1"/>
  <c r="J589" i="2" l="1"/>
  <c r="J590" i="2" l="1"/>
  <c r="J591" i="2" l="1"/>
  <c r="J592" i="2" l="1"/>
  <c r="J593" i="2" l="1"/>
  <c r="J594" i="2" l="1"/>
  <c r="J595" i="2" l="1"/>
  <c r="J596" i="2" l="1"/>
  <c r="J597" i="2" l="1"/>
  <c r="J598" i="2" l="1"/>
  <c r="J599" i="2" l="1"/>
  <c r="J600" i="2" l="1"/>
  <c r="J601" i="2" l="1"/>
  <c r="J602" i="2" l="1"/>
  <c r="J603" i="2" l="1"/>
  <c r="J604" i="2" l="1"/>
  <c r="J605" i="2" l="1"/>
  <c r="J606" i="2" l="1"/>
  <c r="J607" i="2" l="1"/>
  <c r="J608" i="2" l="1"/>
  <c r="J609" i="2" l="1"/>
  <c r="J610" i="2" l="1"/>
  <c r="J611" i="2" l="1"/>
  <c r="J612" i="2" l="1"/>
  <c r="J613" i="2" l="1"/>
  <c r="J614" i="2" l="1"/>
  <c r="J615" i="2" l="1"/>
  <c r="J616" i="2" l="1"/>
  <c r="J617" i="2" l="1"/>
  <c r="J618" i="2" l="1"/>
  <c r="J619" i="2" l="1"/>
  <c r="J620" i="2" l="1"/>
  <c r="J621" i="2" l="1"/>
  <c r="J622" i="2" l="1"/>
  <c r="J623" i="2" l="1"/>
  <c r="J624" i="2" l="1"/>
  <c r="J625" i="2" l="1"/>
  <c r="J626" i="2" l="1"/>
  <c r="J627" i="2" l="1"/>
  <c r="J628" i="2" l="1"/>
  <c r="J629" i="2" l="1"/>
  <c r="J630" i="2" l="1"/>
  <c r="J631" i="2" l="1"/>
  <c r="J632" i="2" l="1"/>
  <c r="J633" i="2" l="1"/>
  <c r="J634" i="2" l="1"/>
  <c r="J635" i="2" l="1"/>
  <c r="J636" i="2" l="1"/>
  <c r="J637" i="2" l="1"/>
  <c r="J638" i="2" l="1"/>
  <c r="J639" i="2" l="1"/>
  <c r="J640" i="2" l="1"/>
  <c r="J641" i="2" l="1"/>
  <c r="J642" i="2" l="1"/>
  <c r="J643" i="2" l="1"/>
  <c r="J644" i="2" l="1"/>
  <c r="J645" i="2" l="1"/>
  <c r="J646" i="2" l="1"/>
  <c r="J647" i="2" l="1"/>
  <c r="J648" i="2" l="1"/>
  <c r="J649" i="2" l="1"/>
  <c r="J650" i="2" l="1"/>
  <c r="J651" i="2" l="1"/>
  <c r="J652" i="2" l="1"/>
  <c r="J653" i="2" l="1"/>
  <c r="J654" i="2" l="1"/>
  <c r="J655" i="2" l="1"/>
  <c r="J656" i="2" l="1"/>
  <c r="J657" i="2" l="1"/>
  <c r="J658" i="2" l="1"/>
  <c r="J659" i="2" l="1"/>
  <c r="J660" i="2" l="1"/>
  <c r="J661" i="2" l="1"/>
  <c r="J662" i="2" l="1"/>
  <c r="J663" i="2" l="1"/>
  <c r="J664" i="2" l="1"/>
  <c r="J665" i="2" l="1"/>
  <c r="J666" i="2" l="1"/>
  <c r="J667" i="2" l="1"/>
  <c r="J668" i="2" l="1"/>
  <c r="J669" i="2" l="1"/>
  <c r="J670" i="2" l="1"/>
  <c r="J671" i="2" l="1"/>
  <c r="J672" i="2" l="1"/>
  <c r="J673" i="2" l="1"/>
  <c r="J674" i="2" l="1"/>
  <c r="J675" i="2" l="1"/>
  <c r="J676" i="2" l="1"/>
  <c r="J677" i="2" l="1"/>
  <c r="J678" i="2" l="1"/>
  <c r="J679" i="2" l="1"/>
  <c r="J680" i="2" l="1"/>
  <c r="J681" i="2" l="1"/>
  <c r="J682" i="2" l="1"/>
  <c r="J683" i="2" l="1"/>
  <c r="J684" i="2" l="1"/>
  <c r="J685" i="2" l="1"/>
  <c r="J686" i="2" l="1"/>
  <c r="J687" i="2" l="1"/>
  <c r="J688" i="2" l="1"/>
  <c r="J689" i="2" l="1"/>
  <c r="J690" i="2" l="1"/>
  <c r="J691" i="2" l="1"/>
  <c r="J692" i="2" l="1"/>
  <c r="J693" i="2" l="1"/>
  <c r="J694" i="2" l="1"/>
  <c r="J695" i="2" l="1"/>
  <c r="J696" i="2" l="1"/>
  <c r="J697" i="2" l="1"/>
  <c r="J698" i="2" l="1"/>
  <c r="J699" i="2" l="1"/>
  <c r="J700" i="2" l="1"/>
  <c r="J701" i="2" l="1"/>
  <c r="J702" i="2" l="1"/>
  <c r="J703" i="2" l="1"/>
  <c r="J704" i="2" l="1"/>
  <c r="J705" i="2" l="1"/>
  <c r="J706" i="2" l="1"/>
  <c r="J707" i="2" l="1"/>
  <c r="J708" i="2" l="1"/>
  <c r="J709" i="2" l="1"/>
  <c r="J710" i="2" l="1"/>
  <c r="J711" i="2" l="1"/>
  <c r="J712" i="2" l="1"/>
  <c r="J713" i="2" l="1"/>
  <c r="J714" i="2" l="1"/>
  <c r="J715" i="2" l="1"/>
  <c r="J716" i="2" l="1"/>
  <c r="J717" i="2" l="1"/>
  <c r="J718" i="2" l="1"/>
  <c r="J719" i="2" l="1"/>
  <c r="J721" i="2" l="1"/>
  <c r="J720" i="2"/>
  <c r="J3" i="2"/>
  <c r="L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9A382C-2C8C-4C25-8184-BE978EB246DE}" keepAlive="1" name="Zapytanie — energia" description="Połączenie z zapytaniem „energia” w skoroszycie." type="5" refreshedVersion="8" background="1" saveData="1">
    <dbPr connection="Provider=Microsoft.Mashup.OleDb.1;Data Source=$Workbook$;Location=energia;Extended Properties=&quot;&quot;" command="SELECT * FROM [energia]"/>
  </connection>
  <connection id="2" xr16:uid="{7A76915B-C464-4960-88B7-A21967387EE6}" keepAlive="1" name="Zapytanie — zapotrzebowanie" description="Połączenie z zapytaniem „zapotrzebowanie” w skoroszycie." type="5" refreshedVersion="0" background="1">
    <dbPr connection="Provider=Microsoft.Mashup.OleDb.1;Data Source=$Workbook$;Location=zapotrzebowanie;Extended Properties=&quot;&quot;" command="SELECT * FROM [zapotrzebowanie]"/>
  </connection>
  <connection id="3" xr16:uid="{9FC546D2-1002-4225-83B2-53A2EA4E21A1}" keepAlive="1" name="Zapytanie — zapotrzebowanie (2)" description="Połączenie z zapytaniem „zapotrzebowanie (2)” w skoroszycie." type="5" refreshedVersion="0" background="1">
    <dbPr connection="Provider=Microsoft.Mashup.OleDb.1;Data Source=$Workbook$;Location=&quot;zapotrzebowanie (2)&quot;;Extended Properties=&quot;&quot;" command="SELECT * FROM [zapotrzebowanie (2)]"/>
  </connection>
  <connection id="4" xr16:uid="{6AEF9645-A4E7-4503-A0EE-BC22DC762CAC}" keepAlive="1" name="Zapytanie — zapotrzebowanie (3)" description="Połączenie z zapytaniem „zapotrzebowanie (3)” w skoroszycie." type="5" refreshedVersion="8" background="1" saveData="1">
    <dbPr connection="Provider=Microsoft.Mashup.OleDb.1;Data Source=$Workbook$;Location=&quot;zapotrzebowanie (3)&quot;;Extended Properties=&quot;&quot;" command="SELECT * FROM [zapotrzebowanie (3)]"/>
  </connection>
  <connection id="5" xr16:uid="{D367CF0E-AB55-4008-A8AC-AB951625377D}" keepAlive="1" name="Zapytanie — zapotrzebowanie (4)" description="Połączenie z zapytaniem „zapotrzebowanie (4)” w skoroszycie." type="5" refreshedVersion="0" background="1">
    <dbPr connection="Provider=Microsoft.Mashup.OleDb.1;Data Source=$Workbook$;Location=&quot;zapotrzebowanie (4)&quot;;Extended Properties=&quot;&quot;" command="SELECT * FROM [zapotrzebowanie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<sst xmlns="http://schemas.openxmlformats.org/spreadsheetml/2006/main" count="29" uniqueCount="27">
  <si>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Data</t>
  </si>
  <si>
    <t>Godzina</t>
  </si>
  <si>
    <t>Zrodla_wiatrowe</t>
  </si>
  <si>
    <t>Zrodla_fotowoltaiczne</t>
  </si>
  <si>
    <t>Etykiety wierszy</t>
  </si>
  <si>
    <t>Suma końcowa</t>
  </si>
  <si>
    <t>Suma z Zrodla_wiatrowe</t>
  </si>
  <si>
    <t>Suma z Zrodla_fotowoltaiczne</t>
  </si>
  <si>
    <t>data max energii wiart</t>
  </si>
  <si>
    <t>data max energii fotowoltaika</t>
  </si>
  <si>
    <t>Średnia z Zrodla_fotowoltaiczne</t>
  </si>
  <si>
    <t>godzina</t>
  </si>
  <si>
    <t>(Wszystko)</t>
  </si>
  <si>
    <t>Czy wiatr rosło</t>
  </si>
  <si>
    <t>Dlugosc rosniecia wiatr</t>
  </si>
  <si>
    <t>max dlugosc rosniecia wiatr</t>
  </si>
  <si>
    <t>pozycja max dnia rosniecia</t>
  </si>
  <si>
    <t>data ostatnia max rosniecia</t>
  </si>
  <si>
    <t>data pierwsza max rosniecia</t>
  </si>
  <si>
    <t>godzina ostatnia max rosniecia</t>
  </si>
  <si>
    <t>godzina pierwsza max rosniecia</t>
  </si>
  <si>
    <t>Zapotrzebowanie</t>
  </si>
  <si>
    <t>Magazyn</t>
  </si>
  <si>
    <t>Łączna produkcja</t>
  </si>
  <si>
    <t>Energia poczatkowa</t>
  </si>
  <si>
    <t>Ile razy zabrakło</t>
  </si>
  <si>
    <t>Czy zabraklo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</si>
</sst>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ny" xfId="0" builtinId="0"/>
  </cellStyles>
  <dxfs count="6">
    <dxf>
      <numFmt numFmtId="2" formatCode="0.00"/>
    </dxf>
    <dxf>
      <numFmt numFmtId="0" formatCode="General"/>
    </dxf>
    <dxf>
      <numFmt numFmtId="2" formatCode="0.00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[zad_7.xlsx]energia!Tabela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Średnia wyprodukowanej energii wg godziny w kwietniu</a:t>
            </a:r>
          </a:p>
        </c:rich>
      </c:tx>
      <c:layout>
        <c:manualLayout>
          <c:xMode val="edge"/>
          <c:yMode val="edge"/>
          <c:x val="0.22134839596928857"/>
          <c:y val="3.0488305317110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45977927056707"/>
          <c:y val="0.13612480262260518"/>
          <c:w val="0.85373662882078227"/>
          <c:h val="0.70090966993182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energia!$N$3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energia!$M$4:$M$28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energia!$N$4:$N$28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D-4BF6-93FA-8673F61B359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255327"/>
        <c:axId val="474256287"/>
      </c:barChart>
      <c:catAx>
        <c:axId val="47425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4256287"/>
        <c:crosses val="autoZero"/>
        <c:auto val="1"/>
        <c:lblAlgn val="ctr"/>
        <c:lblOffset val="100"/>
        <c:noMultiLvlLbl val="0"/>
      </c:catAx>
      <c:valAx>
        <c:axId val="47425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wyprodukowanej energii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9.7361985513260089E-3"/>
              <c:y val="0.3065158237139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425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94130</xdr:colOff>
      <xdr:row>35</xdr:row>
      <xdr:rowOff>0</xdr:rowOff>
    </xdr:from>
    <xdr:to>
      <xdr:col>18</xdr:col>
      <xdr:colOff>609601</xdr:colOff>
      <xdr:row>54</xdr:row>
      <xdr:rowOff>53788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9378B93-6C29-6886-5CC8-076D212E7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jtek Choroś" refreshedDate="46058.35954409722" createdVersion="8" refreshedVersion="8" minRefreshableVersion="3" recordCount="720" xr:uid="{6A7D5B42-3BD1-44F6-B012-552E040E74C9}">
  <cacheSource type="worksheet">
    <worksheetSource name="energia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n v="3130.2629999999999"/>
    <n v="0"/>
  </r>
  <r>
    <x v="0"/>
    <x v="1"/>
    <n v="2765.5880000000002"/>
    <n v="0"/>
  </r>
  <r>
    <x v="0"/>
    <x v="2"/>
    <n v="2555.4380000000001"/>
    <n v="0"/>
  </r>
  <r>
    <x v="0"/>
    <x v="3"/>
    <n v="2675.2379999999998"/>
    <n v="0"/>
  </r>
  <r>
    <x v="0"/>
    <x v="4"/>
    <n v="2681.1750000000002"/>
    <n v="0"/>
  </r>
  <r>
    <x v="0"/>
    <x v="5"/>
    <n v="2367.3249999999998"/>
    <n v="0.21299999999999999"/>
  </r>
  <r>
    <x v="0"/>
    <x v="6"/>
    <n v="2525.2249999999999"/>
    <n v="117.075"/>
  </r>
  <r>
    <x v="0"/>
    <x v="7"/>
    <n v="2360.9879999999998"/>
    <n v="1162.075"/>
  </r>
  <r>
    <x v="0"/>
    <x v="8"/>
    <n v="1940.838"/>
    <n v="2680.5129999999999"/>
  </r>
  <r>
    <x v="0"/>
    <x v="9"/>
    <n v="1368.675"/>
    <n v="4416"/>
  </r>
  <r>
    <x v="0"/>
    <x v="10"/>
    <n v="1140.463"/>
    <n v="5331.5749999999998"/>
  </r>
  <r>
    <x v="0"/>
    <x v="11"/>
    <n v="1305.8630000000001"/>
    <n v="5812.2250000000004"/>
  </r>
  <r>
    <x v="0"/>
    <x v="12"/>
    <n v="1511.4880000000001"/>
    <n v="5846.6130000000003"/>
  </r>
  <r>
    <x v="0"/>
    <x v="13"/>
    <n v="1931.05"/>
    <n v="5471.4250000000002"/>
  </r>
  <r>
    <x v="0"/>
    <x v="14"/>
    <n v="2229.25"/>
    <n v="5661.8249999999998"/>
  </r>
  <r>
    <x v="0"/>
    <x v="15"/>
    <n v="2467.125"/>
    <n v="5067.9880000000003"/>
  </r>
  <r>
    <x v="0"/>
    <x v="16"/>
    <n v="2655.85"/>
    <n v="3458.1379999999999"/>
  </r>
  <r>
    <x v="0"/>
    <x v="17"/>
    <n v="2572.7629999999999"/>
    <n v="1719.088"/>
  </r>
  <r>
    <x v="0"/>
    <x v="18"/>
    <n v="2891.1750000000002"/>
    <n v="560.76300000000003"/>
  </r>
  <r>
    <x v="0"/>
    <x v="19"/>
    <n v="3515.2"/>
    <n v="51.438000000000002"/>
  </r>
  <r>
    <x v="0"/>
    <x v="20"/>
    <n v="3941.538"/>
    <n v="0"/>
  </r>
  <r>
    <x v="0"/>
    <x v="21"/>
    <n v="4127.375"/>
    <n v="0"/>
  </r>
  <r>
    <x v="0"/>
    <x v="22"/>
    <n v="4248.55"/>
    <n v="0"/>
  </r>
  <r>
    <x v="0"/>
    <x v="23"/>
    <n v="4027.7249999999999"/>
    <n v="0"/>
  </r>
  <r>
    <x v="1"/>
    <x v="0"/>
    <n v="3346.5749999999998"/>
    <n v="0"/>
  </r>
  <r>
    <x v="1"/>
    <x v="1"/>
    <n v="3446.2379999999998"/>
    <n v="0"/>
  </r>
  <r>
    <x v="1"/>
    <x v="2"/>
    <n v="4149.3"/>
    <n v="0"/>
  </r>
  <r>
    <x v="1"/>
    <x v="3"/>
    <n v="4457.1750000000002"/>
    <n v="0"/>
  </r>
  <r>
    <x v="1"/>
    <x v="4"/>
    <n v="4588.4380000000001"/>
    <n v="0"/>
  </r>
  <r>
    <x v="1"/>
    <x v="5"/>
    <n v="4658.5"/>
    <n v="1.075"/>
  </r>
  <r>
    <x v="1"/>
    <x v="6"/>
    <n v="4732.9750000000004"/>
    <n v="61.274999999999999"/>
  </r>
  <r>
    <x v="1"/>
    <x v="7"/>
    <n v="4939.8249999999998"/>
    <n v="440.625"/>
  </r>
  <r>
    <x v="1"/>
    <x v="8"/>
    <n v="5218.9629999999997"/>
    <n v="1086.2750000000001"/>
  </r>
  <r>
    <x v="1"/>
    <x v="9"/>
    <n v="5539.7749999999996"/>
    <n v="1915.2629999999999"/>
  </r>
  <r>
    <x v="1"/>
    <x v="10"/>
    <n v="5927.375"/>
    <n v="2442.2629999999999"/>
  </r>
  <r>
    <x v="1"/>
    <x v="11"/>
    <n v="6218.0749999999998"/>
    <n v="2724.6379999999999"/>
  </r>
  <r>
    <x v="1"/>
    <x v="12"/>
    <n v="6813.6629999999996"/>
    <n v="2673.2629999999999"/>
  </r>
  <r>
    <x v="1"/>
    <x v="13"/>
    <n v="7025.85"/>
    <n v="2775.5880000000002"/>
  </r>
  <r>
    <x v="1"/>
    <x v="14"/>
    <n v="7180.7629999999999"/>
    <n v="2810.9380000000001"/>
  </r>
  <r>
    <x v="1"/>
    <x v="15"/>
    <n v="7220.4880000000003"/>
    <n v="2744.5250000000001"/>
  </r>
  <r>
    <x v="1"/>
    <x v="16"/>
    <n v="7167.5630000000001"/>
    <n v="2404.7750000000001"/>
  </r>
  <r>
    <x v="1"/>
    <x v="17"/>
    <n v="6882.125"/>
    <n v="1488.125"/>
  </r>
  <r>
    <x v="1"/>
    <x v="18"/>
    <n v="6806.5630000000001"/>
    <n v="581.4"/>
  </r>
  <r>
    <x v="1"/>
    <x v="19"/>
    <n v="7039.9629999999997"/>
    <n v="56.85"/>
  </r>
  <r>
    <x v="1"/>
    <x v="20"/>
    <n v="7089.2380000000003"/>
    <n v="0"/>
  </r>
  <r>
    <x v="1"/>
    <x v="21"/>
    <n v="6955.6379999999999"/>
    <n v="0"/>
  </r>
  <r>
    <x v="1"/>
    <x v="22"/>
    <n v="6667.7749999999996"/>
    <n v="0"/>
  </r>
  <r>
    <x v="1"/>
    <x v="23"/>
    <n v="6771.0879999999997"/>
    <n v="0"/>
  </r>
  <r>
    <x v="2"/>
    <x v="0"/>
    <n v="6683.55"/>
    <n v="0"/>
  </r>
  <r>
    <x v="2"/>
    <x v="1"/>
    <n v="6485.2250000000004"/>
    <n v="0"/>
  </r>
  <r>
    <x v="2"/>
    <x v="2"/>
    <n v="6362.625"/>
    <n v="0"/>
  </r>
  <r>
    <x v="2"/>
    <x v="3"/>
    <n v="5948.9250000000002"/>
    <n v="0"/>
  </r>
  <r>
    <x v="2"/>
    <x v="4"/>
    <n v="5874.1880000000001"/>
    <n v="0"/>
  </r>
  <r>
    <x v="2"/>
    <x v="5"/>
    <n v="5815.1629999999996"/>
    <n v="0.625"/>
  </r>
  <r>
    <x v="2"/>
    <x v="6"/>
    <n v="5951.2879999999996"/>
    <n v="76.875"/>
  </r>
  <r>
    <x v="2"/>
    <x v="7"/>
    <n v="5858.2879999999996"/>
    <n v="704.4"/>
  </r>
  <r>
    <x v="2"/>
    <x v="8"/>
    <n v="5839.8249999999998"/>
    <n v="1911"/>
  </r>
  <r>
    <x v="2"/>
    <x v="9"/>
    <n v="5734.2629999999999"/>
    <n v="3500"/>
  </r>
  <r>
    <x v="2"/>
    <x v="10"/>
    <n v="5387.15"/>
    <n v="4405.4129999999996"/>
  </r>
  <r>
    <x v="2"/>
    <x v="11"/>
    <n v="5066.9380000000001"/>
    <n v="4657.0379999999996"/>
  </r>
  <r>
    <x v="2"/>
    <x v="12"/>
    <n v="4827.9750000000004"/>
    <n v="5127.7879999999996"/>
  </r>
  <r>
    <x v="2"/>
    <x v="13"/>
    <n v="4638.2129999999997"/>
    <n v="5204.4750000000004"/>
  </r>
  <r>
    <x v="2"/>
    <x v="14"/>
    <n v="4444.0129999999999"/>
    <n v="5284.65"/>
  </r>
  <r>
    <x v="2"/>
    <x v="15"/>
    <n v="4060.7249999999999"/>
    <n v="4440.7879999999996"/>
  </r>
  <r>
    <x v="2"/>
    <x v="16"/>
    <n v="3365"/>
    <n v="3380.625"/>
  </r>
  <r>
    <x v="2"/>
    <x v="17"/>
    <n v="2697.3380000000002"/>
    <n v="1752.175"/>
  </r>
  <r>
    <x v="2"/>
    <x v="18"/>
    <n v="2075.5749999999998"/>
    <n v="515.93799999999999"/>
  </r>
  <r>
    <x v="2"/>
    <x v="19"/>
    <n v="1725.175"/>
    <n v="98.513000000000005"/>
  </r>
  <r>
    <x v="2"/>
    <x v="20"/>
    <n v="1506.8630000000001"/>
    <n v="0"/>
  </r>
  <r>
    <x v="2"/>
    <x v="21"/>
    <n v="1343.6"/>
    <n v="0"/>
  </r>
  <r>
    <x v="2"/>
    <x v="22"/>
    <n v="1320.5630000000001"/>
    <n v="0"/>
  </r>
  <r>
    <x v="2"/>
    <x v="23"/>
    <n v="1277.1379999999999"/>
    <n v="0"/>
  </r>
  <r>
    <x v="3"/>
    <x v="0"/>
    <n v="1296.9380000000001"/>
    <n v="0"/>
  </r>
  <r>
    <x v="3"/>
    <x v="1"/>
    <n v="1376.75"/>
    <n v="0"/>
  </r>
  <r>
    <x v="3"/>
    <x v="2"/>
    <n v="1459.925"/>
    <n v="0"/>
  </r>
  <r>
    <x v="3"/>
    <x v="3"/>
    <n v="1527.538"/>
    <n v="0"/>
  </r>
  <r>
    <x v="3"/>
    <x v="4"/>
    <n v="1725.0630000000001"/>
    <n v="0"/>
  </r>
  <r>
    <x v="3"/>
    <x v="5"/>
    <n v="1804.5630000000001"/>
    <n v="0.52500000000000002"/>
  </r>
  <r>
    <x v="3"/>
    <x v="6"/>
    <n v="1882.8"/>
    <n v="182.78800000000001"/>
  </r>
  <r>
    <x v="3"/>
    <x v="7"/>
    <n v="1927.5"/>
    <n v="903.98800000000006"/>
  </r>
  <r>
    <x v="3"/>
    <x v="8"/>
    <n v="1803.0630000000001"/>
    <n v="2087.2249999999999"/>
  </r>
  <r>
    <x v="3"/>
    <x v="9"/>
    <n v="1611.05"/>
    <n v="3579.6"/>
  </r>
  <r>
    <x v="3"/>
    <x v="10"/>
    <n v="1517.413"/>
    <n v="4306.8379999999997"/>
  </r>
  <r>
    <x v="3"/>
    <x v="11"/>
    <n v="1464.9380000000001"/>
    <n v="5172.3"/>
  </r>
  <r>
    <x v="3"/>
    <x v="12"/>
    <n v="1616.9"/>
    <n v="5723.5129999999999"/>
  </r>
  <r>
    <x v="3"/>
    <x v="13"/>
    <n v="1760.9880000000001"/>
    <n v="5583.875"/>
  </r>
  <r>
    <x v="3"/>
    <x v="14"/>
    <n v="1910.588"/>
    <n v="5109.6000000000004"/>
  </r>
  <r>
    <x v="3"/>
    <x v="15"/>
    <n v="2147.8380000000002"/>
    <n v="4166.7"/>
  </r>
  <r>
    <x v="3"/>
    <x v="16"/>
    <n v="2389"/>
    <n v="3069.4630000000002"/>
  </r>
  <r>
    <x v="3"/>
    <x v="17"/>
    <n v="2445.2249999999999"/>
    <n v="1544.663"/>
  </r>
  <r>
    <x v="3"/>
    <x v="18"/>
    <n v="2756.4380000000001"/>
    <n v="540.16300000000001"/>
  </r>
  <r>
    <x v="3"/>
    <x v="19"/>
    <n v="3537.875"/>
    <n v="97.013000000000005"/>
  </r>
  <r>
    <x v="3"/>
    <x v="20"/>
    <n v="4276.8500000000004"/>
    <n v="0"/>
  </r>
  <r>
    <x v="3"/>
    <x v="21"/>
    <n v="4835.1750000000002"/>
    <n v="0"/>
  </r>
  <r>
    <x v="3"/>
    <x v="22"/>
    <n v="5044.7250000000004"/>
    <n v="0"/>
  </r>
  <r>
    <x v="3"/>
    <x v="23"/>
    <n v="5564.6750000000002"/>
    <n v="0"/>
  </r>
  <r>
    <x v="4"/>
    <x v="0"/>
    <n v="5803.1130000000003"/>
    <n v="0"/>
  </r>
  <r>
    <x v="4"/>
    <x v="1"/>
    <n v="5764.2749999999996"/>
    <n v="0"/>
  </r>
  <r>
    <x v="4"/>
    <x v="2"/>
    <n v="5571.0749999999998"/>
    <n v="0"/>
  </r>
  <r>
    <x v="4"/>
    <x v="3"/>
    <n v="5487.2380000000003"/>
    <n v="0"/>
  </r>
  <r>
    <x v="4"/>
    <x v="4"/>
    <n v="5289.1629999999996"/>
    <n v="0"/>
  </r>
  <r>
    <x v="4"/>
    <x v="5"/>
    <n v="4720.9750000000004"/>
    <n v="2.6880000000000002"/>
  </r>
  <r>
    <x v="4"/>
    <x v="6"/>
    <n v="4460.4880000000003"/>
    <n v="207.26300000000001"/>
  </r>
  <r>
    <x v="4"/>
    <x v="7"/>
    <n v="4055.7249999999999"/>
    <n v="1171.5999999999999"/>
  </r>
  <r>
    <x v="4"/>
    <x v="8"/>
    <n v="3390.5880000000002"/>
    <n v="2805.5250000000001"/>
  </r>
  <r>
    <x v="4"/>
    <x v="9"/>
    <n v="3101.2249999999999"/>
    <n v="4478.6379999999999"/>
  </r>
  <r>
    <x v="4"/>
    <x v="10"/>
    <n v="2969.0630000000001"/>
    <n v="6019.9129999999996"/>
  </r>
  <r>
    <x v="4"/>
    <x v="11"/>
    <n v="3016.9749999999999"/>
    <n v="6657.3249999999998"/>
  </r>
  <r>
    <x v="4"/>
    <x v="12"/>
    <n v="3085.65"/>
    <n v="6455.375"/>
  </r>
  <r>
    <x v="4"/>
    <x v="13"/>
    <n v="3147"/>
    <n v="6064.8"/>
  </r>
  <r>
    <x v="4"/>
    <x v="14"/>
    <n v="2894.8249999999998"/>
    <n v="5635.875"/>
  </r>
  <r>
    <x v="4"/>
    <x v="15"/>
    <n v="2652.625"/>
    <n v="5442.65"/>
  </r>
  <r>
    <x v="4"/>
    <x v="16"/>
    <n v="2686.5630000000001"/>
    <n v="4334.0749999999998"/>
  </r>
  <r>
    <x v="4"/>
    <x v="17"/>
    <n v="2823.8879999999999"/>
    <n v="2446.5129999999999"/>
  </r>
  <r>
    <x v="4"/>
    <x v="18"/>
    <n v="3079.1"/>
    <n v="770"/>
  </r>
  <r>
    <x v="4"/>
    <x v="19"/>
    <n v="3840.15"/>
    <n v="128.93799999999999"/>
  </r>
  <r>
    <x v="4"/>
    <x v="20"/>
    <n v="4883.0379999999996"/>
    <n v="0"/>
  </r>
  <r>
    <x v="4"/>
    <x v="21"/>
    <n v="5978.1379999999999"/>
    <n v="0"/>
  </r>
  <r>
    <x v="4"/>
    <x v="22"/>
    <n v="6598.9129999999996"/>
    <n v="0"/>
  </r>
  <r>
    <x v="4"/>
    <x v="23"/>
    <n v="6643.1130000000003"/>
    <n v="0"/>
  </r>
  <r>
    <x v="5"/>
    <x v="0"/>
    <n v="6379.6750000000002"/>
    <n v="0"/>
  </r>
  <r>
    <x v="5"/>
    <x v="1"/>
    <n v="6134.5129999999999"/>
    <n v="0"/>
  </r>
  <r>
    <x v="5"/>
    <x v="2"/>
    <n v="5890.1"/>
    <n v="0"/>
  </r>
  <r>
    <x v="5"/>
    <x v="3"/>
    <n v="5587.5249999999996"/>
    <n v="0"/>
  </r>
  <r>
    <x v="5"/>
    <x v="4"/>
    <n v="5163.8999999999996"/>
    <n v="0"/>
  </r>
  <r>
    <x v="5"/>
    <x v="5"/>
    <n v="5173.3879999999999"/>
    <n v="10.95"/>
  </r>
  <r>
    <x v="5"/>
    <x v="6"/>
    <n v="5060.5630000000001"/>
    <n v="302.375"/>
  </r>
  <r>
    <x v="5"/>
    <x v="7"/>
    <n v="4595.5879999999997"/>
    <n v="1375.088"/>
  </r>
  <r>
    <x v="5"/>
    <x v="8"/>
    <n v="4078.0880000000002"/>
    <n v="3297.1379999999999"/>
  </r>
  <r>
    <x v="5"/>
    <x v="9"/>
    <n v="3480.3879999999999"/>
    <n v="5189.4380000000001"/>
  </r>
  <r>
    <x v="5"/>
    <x v="10"/>
    <n v="3477.2130000000002"/>
    <n v="6562.7629999999999"/>
  </r>
  <r>
    <x v="5"/>
    <x v="11"/>
    <n v="3550.9380000000001"/>
    <n v="8038.3"/>
  </r>
  <r>
    <x v="5"/>
    <x v="12"/>
    <n v="3686"/>
    <n v="8002.6379999999999"/>
  </r>
  <r>
    <x v="5"/>
    <x v="13"/>
    <n v="3637.75"/>
    <n v="7691.7380000000003"/>
  </r>
  <r>
    <x v="5"/>
    <x v="14"/>
    <n v="3250.6129999999998"/>
    <n v="7518.45"/>
  </r>
  <r>
    <x v="5"/>
    <x v="15"/>
    <n v="2574.2379999999998"/>
    <n v="6545.4380000000001"/>
  </r>
  <r>
    <x v="5"/>
    <x v="16"/>
    <n v="1815.1"/>
    <n v="5289.75"/>
  </r>
  <r>
    <x v="5"/>
    <x v="17"/>
    <n v="1170.7629999999999"/>
    <n v="3107.4630000000002"/>
  </r>
  <r>
    <x v="5"/>
    <x v="18"/>
    <n v="628.33799999999997"/>
    <n v="1035.1379999999999"/>
  </r>
  <r>
    <x v="5"/>
    <x v="19"/>
    <n v="510.488"/>
    <n v="152.863"/>
  </r>
  <r>
    <x v="5"/>
    <x v="20"/>
    <n v="640.72500000000002"/>
    <n v="0"/>
  </r>
  <r>
    <x v="5"/>
    <x v="21"/>
    <n v="841.47500000000002"/>
    <n v="0"/>
  </r>
  <r>
    <x v="5"/>
    <x v="22"/>
    <n v="1385.2"/>
    <n v="0"/>
  </r>
  <r>
    <x v="5"/>
    <x v="23"/>
    <n v="2037.3130000000001"/>
    <n v="0"/>
  </r>
  <r>
    <x v="6"/>
    <x v="0"/>
    <n v="2619.7629999999999"/>
    <n v="0"/>
  </r>
  <r>
    <x v="6"/>
    <x v="1"/>
    <n v="3091.0129999999999"/>
    <n v="0"/>
  </r>
  <r>
    <x v="6"/>
    <x v="2"/>
    <n v="3662.3879999999999"/>
    <n v="0"/>
  </r>
  <r>
    <x v="6"/>
    <x v="3"/>
    <n v="4079.4250000000002"/>
    <n v="0"/>
  </r>
  <r>
    <x v="6"/>
    <x v="4"/>
    <n v="4390.8500000000004"/>
    <n v="0"/>
  </r>
  <r>
    <x v="6"/>
    <x v="5"/>
    <n v="4557.6130000000003"/>
    <n v="6.7880000000000003"/>
  </r>
  <r>
    <x v="6"/>
    <x v="6"/>
    <n v="4803.3500000000004"/>
    <n v="327.39999999999998"/>
  </r>
  <r>
    <x v="6"/>
    <x v="7"/>
    <n v="4993.1880000000001"/>
    <n v="1778.9380000000001"/>
  </r>
  <r>
    <x v="6"/>
    <x v="8"/>
    <n v="4525.8130000000001"/>
    <n v="3994.5250000000001"/>
  </r>
  <r>
    <x v="6"/>
    <x v="9"/>
    <n v="3707.1880000000001"/>
    <n v="5784.4880000000003"/>
  </r>
  <r>
    <x v="6"/>
    <x v="10"/>
    <n v="3536.3629999999998"/>
    <n v="7371.8379999999997"/>
  </r>
  <r>
    <x v="6"/>
    <x v="11"/>
    <n v="3839.4250000000002"/>
    <n v="7463.9750000000004"/>
  </r>
  <r>
    <x v="6"/>
    <x v="12"/>
    <n v="4186.2"/>
    <n v="7302.5"/>
  </r>
  <r>
    <x v="6"/>
    <x v="13"/>
    <n v="3318.25"/>
    <n v="7102.75"/>
  </r>
  <r>
    <x v="6"/>
    <x v="14"/>
    <n v="2636.8879999999999"/>
    <n v="6636.6"/>
  </r>
  <r>
    <x v="6"/>
    <x v="15"/>
    <n v="2253.6999999999998"/>
    <n v="5685.6880000000001"/>
  </r>
  <r>
    <x v="6"/>
    <x v="16"/>
    <n v="1804.35"/>
    <n v="5050.8500000000004"/>
  </r>
  <r>
    <x v="6"/>
    <x v="17"/>
    <n v="1486.4749999999999"/>
    <n v="3331.9630000000002"/>
  </r>
  <r>
    <x v="6"/>
    <x v="18"/>
    <n v="1384"/>
    <n v="1437.3"/>
  </r>
  <r>
    <x v="6"/>
    <x v="19"/>
    <n v="1703.15"/>
    <n v="184.92500000000001"/>
  </r>
  <r>
    <x v="6"/>
    <x v="20"/>
    <n v="2095.3249999999998"/>
    <n v="0"/>
  </r>
  <r>
    <x v="6"/>
    <x v="21"/>
    <n v="2056.4380000000001"/>
    <n v="0"/>
  </r>
  <r>
    <x v="6"/>
    <x v="22"/>
    <n v="2193.1750000000002"/>
    <n v="0"/>
  </r>
  <r>
    <x v="6"/>
    <x v="23"/>
    <n v="2213.663"/>
    <n v="0"/>
  </r>
  <r>
    <x v="7"/>
    <x v="0"/>
    <n v="2449.7379999999998"/>
    <n v="0"/>
  </r>
  <r>
    <x v="7"/>
    <x v="1"/>
    <n v="2901.4879999999998"/>
    <n v="0"/>
  </r>
  <r>
    <x v="7"/>
    <x v="2"/>
    <n v="3262.35"/>
    <n v="0"/>
  </r>
  <r>
    <x v="7"/>
    <x v="3"/>
    <n v="3337.75"/>
    <n v="0"/>
  </r>
  <r>
    <x v="7"/>
    <x v="4"/>
    <n v="3526.95"/>
    <n v="0"/>
  </r>
  <r>
    <x v="7"/>
    <x v="5"/>
    <n v="3359.0880000000002"/>
    <n v="5.45"/>
  </r>
  <r>
    <x v="7"/>
    <x v="6"/>
    <n v="3238.2379999999998"/>
    <n v="252.85"/>
  </r>
  <r>
    <x v="7"/>
    <x v="7"/>
    <n v="2777.2130000000002"/>
    <n v="1385.5250000000001"/>
  </r>
  <r>
    <x v="7"/>
    <x v="8"/>
    <n v="2223.1379999999999"/>
    <n v="3341.9250000000002"/>
  </r>
  <r>
    <x v="7"/>
    <x v="9"/>
    <n v="1588.538"/>
    <n v="5432.875"/>
  </r>
  <r>
    <x v="7"/>
    <x v="10"/>
    <n v="915.98800000000006"/>
    <n v="7068.7129999999997"/>
  </r>
  <r>
    <x v="7"/>
    <x v="11"/>
    <n v="832.625"/>
    <n v="8205.9"/>
  </r>
  <r>
    <x v="7"/>
    <x v="12"/>
    <n v="892.85"/>
    <n v="8629.9750000000004"/>
  </r>
  <r>
    <x v="7"/>
    <x v="13"/>
    <n v="870.73800000000006"/>
    <n v="8919.8880000000008"/>
  </r>
  <r>
    <x v="7"/>
    <x v="14"/>
    <n v="959.05"/>
    <n v="8460.6630000000005"/>
  </r>
  <r>
    <x v="7"/>
    <x v="15"/>
    <n v="1044.413"/>
    <n v="7095.7250000000004"/>
  </r>
  <r>
    <x v="7"/>
    <x v="16"/>
    <n v="1297.075"/>
    <n v="5410.875"/>
  </r>
  <r>
    <x v="7"/>
    <x v="17"/>
    <n v="1413.0630000000001"/>
    <n v="3017.8629999999998"/>
  </r>
  <r>
    <x v="7"/>
    <x v="18"/>
    <n v="1538.7249999999999"/>
    <n v="1106.213"/>
  </r>
  <r>
    <x v="7"/>
    <x v="19"/>
    <n v="1852.038"/>
    <n v="256.01299999999998"/>
  </r>
  <r>
    <x v="7"/>
    <x v="20"/>
    <n v="2617.7249999999999"/>
    <n v="0"/>
  </r>
  <r>
    <x v="7"/>
    <x v="21"/>
    <n v="3282.9"/>
    <n v="0"/>
  </r>
  <r>
    <x v="7"/>
    <x v="22"/>
    <n v="3672.3"/>
    <n v="0"/>
  </r>
  <r>
    <x v="7"/>
    <x v="23"/>
    <n v="3816.875"/>
    <n v="0"/>
  </r>
  <r>
    <x v="8"/>
    <x v="0"/>
    <n v="3853.125"/>
    <n v="0"/>
  </r>
  <r>
    <x v="8"/>
    <x v="1"/>
    <n v="3738.3249999999998"/>
    <n v="0"/>
  </r>
  <r>
    <x v="8"/>
    <x v="2"/>
    <n v="3232.5749999999998"/>
    <n v="0"/>
  </r>
  <r>
    <x v="8"/>
    <x v="3"/>
    <n v="2819.7629999999999"/>
    <n v="0"/>
  </r>
  <r>
    <x v="8"/>
    <x v="4"/>
    <n v="2528.3130000000001"/>
    <n v="0"/>
  </r>
  <r>
    <x v="8"/>
    <x v="5"/>
    <n v="2277.6129999999998"/>
    <n v="49.713000000000001"/>
  </r>
  <r>
    <x v="8"/>
    <x v="6"/>
    <n v="1961.788"/>
    <n v="451.45"/>
  </r>
  <r>
    <x v="8"/>
    <x v="7"/>
    <n v="1698.2750000000001"/>
    <n v="1940.575"/>
  </r>
  <r>
    <x v="8"/>
    <x v="8"/>
    <n v="1245.0999999999999"/>
    <n v="4466.875"/>
  </r>
  <r>
    <x v="8"/>
    <x v="9"/>
    <n v="799.86300000000006"/>
    <n v="7182.9750000000004"/>
  </r>
  <r>
    <x v="8"/>
    <x v="10"/>
    <n v="671"/>
    <n v="8564.7250000000004"/>
  </r>
  <r>
    <x v="8"/>
    <x v="11"/>
    <n v="777.7"/>
    <n v="9683.5750000000007"/>
  </r>
  <r>
    <x v="8"/>
    <x v="12"/>
    <n v="1114.325"/>
    <n v="10529.963"/>
  </r>
  <r>
    <x v="8"/>
    <x v="13"/>
    <n v="1516.713"/>
    <n v="10167.013000000001"/>
  </r>
  <r>
    <x v="8"/>
    <x v="14"/>
    <n v="1790.7249999999999"/>
    <n v="9447.0249999999996"/>
  </r>
  <r>
    <x v="8"/>
    <x v="15"/>
    <n v="2123.25"/>
    <n v="8104.0129999999999"/>
  </r>
  <r>
    <x v="8"/>
    <x v="16"/>
    <n v="2324.5630000000001"/>
    <n v="5836.4750000000004"/>
  </r>
  <r>
    <x v="8"/>
    <x v="17"/>
    <n v="2379.5500000000002"/>
    <n v="3212.9879999999998"/>
  </r>
  <r>
    <x v="8"/>
    <x v="18"/>
    <n v="2677.45"/>
    <n v="1144.95"/>
  </r>
  <r>
    <x v="8"/>
    <x v="19"/>
    <n v="3303.875"/>
    <n v="249.01300000000001"/>
  </r>
  <r>
    <x v="8"/>
    <x v="20"/>
    <n v="4048.4630000000002"/>
    <n v="0"/>
  </r>
  <r>
    <x v="8"/>
    <x v="21"/>
    <n v="4693.8379999999997"/>
    <n v="0"/>
  </r>
  <r>
    <x v="8"/>
    <x v="22"/>
    <n v="5564.8"/>
    <n v="0"/>
  </r>
  <r>
    <x v="8"/>
    <x v="23"/>
    <n v="5323.7250000000004"/>
    <n v="0"/>
  </r>
  <r>
    <x v="9"/>
    <x v="0"/>
    <n v="4951.875"/>
    <n v="0"/>
  </r>
  <r>
    <x v="9"/>
    <x v="1"/>
    <n v="4908.4129999999996"/>
    <n v="0"/>
  </r>
  <r>
    <x v="9"/>
    <x v="2"/>
    <n v="4634.95"/>
    <n v="0"/>
  </r>
  <r>
    <x v="9"/>
    <x v="3"/>
    <n v="4623.1130000000003"/>
    <n v="0"/>
  </r>
  <r>
    <x v="9"/>
    <x v="4"/>
    <n v="4552.6379999999999"/>
    <n v="0"/>
  </r>
  <r>
    <x v="9"/>
    <x v="5"/>
    <n v="4404.45"/>
    <n v="51.438000000000002"/>
  </r>
  <r>
    <x v="9"/>
    <x v="6"/>
    <n v="4126.7879999999996"/>
    <n v="383.1"/>
  </r>
  <r>
    <x v="9"/>
    <x v="7"/>
    <n v="4069.15"/>
    <n v="1176.413"/>
  </r>
  <r>
    <x v="9"/>
    <x v="8"/>
    <n v="3913.0250000000001"/>
    <n v="2085.15"/>
  </r>
  <r>
    <x v="9"/>
    <x v="9"/>
    <n v="3838.6750000000002"/>
    <n v="2938.3380000000002"/>
  </r>
  <r>
    <x v="9"/>
    <x v="10"/>
    <n v="4091.8629999999998"/>
    <n v="4072.788"/>
  </r>
  <r>
    <x v="9"/>
    <x v="11"/>
    <n v="4197.125"/>
    <n v="4948.7"/>
  </r>
  <r>
    <x v="9"/>
    <x v="12"/>
    <n v="4160.1499999999996"/>
    <n v="5479.7250000000004"/>
  </r>
  <r>
    <x v="9"/>
    <x v="13"/>
    <n v="3900.95"/>
    <n v="5619"/>
  </r>
  <r>
    <x v="9"/>
    <x v="14"/>
    <n v="3837.4250000000002"/>
    <n v="5315.4250000000002"/>
  </r>
  <r>
    <x v="9"/>
    <x v="15"/>
    <n v="3739.0630000000001"/>
    <n v="4515.6379999999999"/>
  </r>
  <r>
    <x v="9"/>
    <x v="16"/>
    <n v="3906.1750000000002"/>
    <n v="3256.5880000000002"/>
  </r>
  <r>
    <x v="9"/>
    <x v="17"/>
    <n v="3960.7629999999999"/>
    <n v="1974.6130000000001"/>
  </r>
  <r>
    <x v="9"/>
    <x v="18"/>
    <n v="3623.4250000000002"/>
    <n v="886.15"/>
  </r>
  <r>
    <x v="9"/>
    <x v="19"/>
    <n v="3358"/>
    <n v="246.68799999999999"/>
  </r>
  <r>
    <x v="9"/>
    <x v="20"/>
    <n v="2812.4630000000002"/>
    <n v="0"/>
  </r>
  <r>
    <x v="9"/>
    <x v="21"/>
    <n v="2481.4879999999998"/>
    <n v="0"/>
  </r>
  <r>
    <x v="9"/>
    <x v="22"/>
    <n v="2211.875"/>
    <n v="0"/>
  </r>
  <r>
    <x v="9"/>
    <x v="23"/>
    <n v="1934.45"/>
    <n v="0"/>
  </r>
  <r>
    <x v="10"/>
    <x v="0"/>
    <n v="1638.913"/>
    <n v="0"/>
  </r>
  <r>
    <x v="10"/>
    <x v="1"/>
    <n v="1527.213"/>
    <n v="0"/>
  </r>
  <r>
    <x v="10"/>
    <x v="2"/>
    <n v="1750.7380000000001"/>
    <n v="0"/>
  </r>
  <r>
    <x v="10"/>
    <x v="3"/>
    <n v="1987.7750000000001"/>
    <n v="0"/>
  </r>
  <r>
    <x v="10"/>
    <x v="4"/>
    <n v="2160.15"/>
    <n v="0"/>
  </r>
  <r>
    <x v="10"/>
    <x v="5"/>
    <n v="2402.913"/>
    <n v="88.174999999999997"/>
  </r>
  <r>
    <x v="10"/>
    <x v="6"/>
    <n v="2549.5880000000002"/>
    <n v="582.45000000000005"/>
  </r>
  <r>
    <x v="10"/>
    <x v="7"/>
    <n v="2267.6880000000001"/>
    <n v="2271.6"/>
  </r>
  <r>
    <x v="10"/>
    <x v="8"/>
    <n v="1581.6"/>
    <n v="5042.7749999999996"/>
  </r>
  <r>
    <x v="10"/>
    <x v="9"/>
    <n v="1755.35"/>
    <n v="7490.9129999999996"/>
  </r>
  <r>
    <x v="10"/>
    <x v="10"/>
    <n v="2822.663"/>
    <n v="9037.7749999999996"/>
  </r>
  <r>
    <x v="10"/>
    <x v="11"/>
    <n v="3507.3879999999999"/>
    <n v="9569.2880000000005"/>
  </r>
  <r>
    <x v="10"/>
    <x v="12"/>
    <n v="3629.288"/>
    <n v="8547.5249999999996"/>
  </r>
  <r>
    <x v="10"/>
    <x v="13"/>
    <n v="3533.5749999999998"/>
    <n v="8090.6"/>
  </r>
  <r>
    <x v="10"/>
    <x v="14"/>
    <n v="3454.413"/>
    <n v="7545.5749999999998"/>
  </r>
  <r>
    <x v="10"/>
    <x v="15"/>
    <n v="3591.6129999999998"/>
    <n v="6990.2250000000004"/>
  </r>
  <r>
    <x v="10"/>
    <x v="16"/>
    <n v="3269.375"/>
    <n v="5827.9629999999997"/>
  </r>
  <r>
    <x v="10"/>
    <x v="17"/>
    <n v="2779.7249999999999"/>
    <n v="3712.3249999999998"/>
  </r>
  <r>
    <x v="10"/>
    <x v="18"/>
    <n v="2522.7629999999999"/>
    <n v="1590.8"/>
  </r>
  <r>
    <x v="10"/>
    <x v="19"/>
    <n v="2597.7249999999999"/>
    <n v="252.31299999999999"/>
  </r>
  <r>
    <x v="10"/>
    <x v="20"/>
    <n v="2912.288"/>
    <n v="0"/>
  </r>
  <r>
    <x v="10"/>
    <x v="21"/>
    <n v="2870.375"/>
    <n v="0"/>
  </r>
  <r>
    <x v="10"/>
    <x v="22"/>
    <n v="2862.6129999999998"/>
    <n v="0"/>
  </r>
  <r>
    <x v="10"/>
    <x v="23"/>
    <n v="3080.8629999999998"/>
    <n v="0"/>
  </r>
  <r>
    <x v="11"/>
    <x v="0"/>
    <n v="3101.038"/>
    <n v="0"/>
  </r>
  <r>
    <x v="11"/>
    <x v="1"/>
    <n v="3173.8380000000002"/>
    <n v="0"/>
  </r>
  <r>
    <x v="11"/>
    <x v="2"/>
    <n v="3074.85"/>
    <n v="0"/>
  </r>
  <r>
    <x v="11"/>
    <x v="3"/>
    <n v="2967.7"/>
    <n v="0"/>
  </r>
  <r>
    <x v="11"/>
    <x v="4"/>
    <n v="2681.7750000000001"/>
    <n v="0"/>
  </r>
  <r>
    <x v="11"/>
    <x v="5"/>
    <n v="2472.538"/>
    <n v="6.7"/>
  </r>
  <r>
    <x v="11"/>
    <x v="6"/>
    <n v="2407.9380000000001"/>
    <n v="319.18799999999999"/>
  </r>
  <r>
    <x v="11"/>
    <x v="7"/>
    <n v="2295.8380000000002"/>
    <n v="1527.6"/>
  </r>
  <r>
    <x v="11"/>
    <x v="8"/>
    <n v="1778.85"/>
    <n v="3144.538"/>
  </r>
  <r>
    <x v="11"/>
    <x v="9"/>
    <n v="1540.3130000000001"/>
    <n v="4851.7129999999997"/>
  </r>
  <r>
    <x v="11"/>
    <x v="10"/>
    <n v="1619.088"/>
    <n v="6000.0879999999997"/>
  </r>
  <r>
    <x v="11"/>
    <x v="11"/>
    <n v="2047.963"/>
    <n v="6624.1"/>
  </r>
  <r>
    <x v="11"/>
    <x v="12"/>
    <n v="2346.5500000000002"/>
    <n v="7019.0129999999999"/>
  </r>
  <r>
    <x v="11"/>
    <x v="13"/>
    <n v="2456.4749999999999"/>
    <n v="7136.65"/>
  </r>
  <r>
    <x v="11"/>
    <x v="14"/>
    <n v="2641.05"/>
    <n v="6773.8130000000001"/>
  </r>
  <r>
    <x v="11"/>
    <x v="15"/>
    <n v="2535.6999999999998"/>
    <n v="6178.1750000000002"/>
  </r>
  <r>
    <x v="11"/>
    <x v="16"/>
    <n v="2506.4250000000002"/>
    <n v="4660.6379999999999"/>
  </r>
  <r>
    <x v="11"/>
    <x v="17"/>
    <n v="2113.7629999999999"/>
    <n v="2813.1880000000001"/>
  </r>
  <r>
    <x v="11"/>
    <x v="18"/>
    <n v="1639.45"/>
    <n v="1075.4880000000001"/>
  </r>
  <r>
    <x v="11"/>
    <x v="19"/>
    <n v="1887.0630000000001"/>
    <n v="273.91300000000001"/>
  </r>
  <r>
    <x v="11"/>
    <x v="20"/>
    <n v="2483.0129999999999"/>
    <n v="0"/>
  </r>
  <r>
    <x v="11"/>
    <x v="21"/>
    <n v="3017.25"/>
    <n v="0"/>
  </r>
  <r>
    <x v="11"/>
    <x v="22"/>
    <n v="3583.2130000000002"/>
    <n v="0"/>
  </r>
  <r>
    <x v="11"/>
    <x v="23"/>
    <n v="4276.1000000000004"/>
    <n v="0"/>
  </r>
  <r>
    <x v="12"/>
    <x v="0"/>
    <n v="4388.3130000000001"/>
    <n v="0"/>
  </r>
  <r>
    <x v="12"/>
    <x v="1"/>
    <n v="4199.5129999999999"/>
    <n v="0"/>
  </r>
  <r>
    <x v="12"/>
    <x v="2"/>
    <n v="4164.5379999999996"/>
    <n v="0"/>
  </r>
  <r>
    <x v="12"/>
    <x v="3"/>
    <n v="3954.7750000000001"/>
    <n v="0"/>
  </r>
  <r>
    <x v="12"/>
    <x v="4"/>
    <n v="3833.3249999999998"/>
    <n v="0"/>
  </r>
  <r>
    <x v="12"/>
    <x v="5"/>
    <n v="3715.1750000000002"/>
    <n v="45.475000000000001"/>
  </r>
  <r>
    <x v="12"/>
    <x v="6"/>
    <n v="3703.163"/>
    <n v="473.51299999999998"/>
  </r>
  <r>
    <x v="12"/>
    <x v="7"/>
    <n v="3279.1"/>
    <n v="1814.3"/>
  </r>
  <r>
    <x v="12"/>
    <x v="8"/>
    <n v="3139.8"/>
    <n v="3936.6750000000002"/>
  </r>
  <r>
    <x v="12"/>
    <x v="9"/>
    <n v="3365.2249999999999"/>
    <n v="5956.6130000000003"/>
  </r>
  <r>
    <x v="12"/>
    <x v="10"/>
    <n v="3626.2379999999998"/>
    <n v="7713.0379999999996"/>
  </r>
  <r>
    <x v="12"/>
    <x v="11"/>
    <n v="3878.9630000000002"/>
    <n v="8376.7630000000008"/>
  </r>
  <r>
    <x v="12"/>
    <x v="12"/>
    <n v="4186.2879999999996"/>
    <n v="8718.6"/>
  </r>
  <r>
    <x v="12"/>
    <x v="13"/>
    <n v="4575.2629999999999"/>
    <n v="9145.2880000000005"/>
  </r>
  <r>
    <x v="12"/>
    <x v="14"/>
    <n v="4728.1379999999999"/>
    <n v="8144.0749999999998"/>
  </r>
  <r>
    <x v="12"/>
    <x v="15"/>
    <n v="4374.7879999999996"/>
    <n v="6291.4750000000004"/>
  </r>
  <r>
    <x v="12"/>
    <x v="16"/>
    <n v="3919.3249999999998"/>
    <n v="4863.9380000000001"/>
  </r>
  <r>
    <x v="12"/>
    <x v="17"/>
    <n v="3067.6880000000001"/>
    <n v="3051.0880000000002"/>
  </r>
  <r>
    <x v="12"/>
    <x v="18"/>
    <n v="1823"/>
    <n v="1224.5250000000001"/>
  </r>
  <r>
    <x v="12"/>
    <x v="19"/>
    <n v="1388.1880000000001"/>
    <n v="241.863"/>
  </r>
  <r>
    <x v="12"/>
    <x v="20"/>
    <n v="1684.8"/>
    <n v="0"/>
  </r>
  <r>
    <x v="12"/>
    <x v="21"/>
    <n v="2293.1379999999999"/>
    <n v="0"/>
  </r>
  <r>
    <x v="12"/>
    <x v="22"/>
    <n v="3020.6129999999998"/>
    <n v="0"/>
  </r>
  <r>
    <x v="12"/>
    <x v="23"/>
    <n v="3427.6"/>
    <n v="0"/>
  </r>
  <r>
    <x v="13"/>
    <x v="0"/>
    <n v="3845.3629999999998"/>
    <n v="0"/>
  </r>
  <r>
    <x v="13"/>
    <x v="1"/>
    <n v="4625.7749999999996"/>
    <n v="0"/>
  </r>
  <r>
    <x v="13"/>
    <x v="2"/>
    <n v="5458.9129999999996"/>
    <n v="0"/>
  </r>
  <r>
    <x v="13"/>
    <x v="3"/>
    <n v="5633.7629999999999"/>
    <n v="0"/>
  </r>
  <r>
    <x v="13"/>
    <x v="4"/>
    <n v="5972.5"/>
    <n v="0"/>
  </r>
  <r>
    <x v="13"/>
    <x v="5"/>
    <n v="6276"/>
    <n v="22.763000000000002"/>
  </r>
  <r>
    <x v="13"/>
    <x v="6"/>
    <n v="6597.65"/>
    <n v="393.1"/>
  </r>
  <r>
    <x v="13"/>
    <x v="7"/>
    <n v="6402.85"/>
    <n v="1521.95"/>
  </r>
  <r>
    <x v="13"/>
    <x v="8"/>
    <n v="6034.7129999999997"/>
    <n v="2818.1129999999998"/>
  </r>
  <r>
    <x v="13"/>
    <x v="9"/>
    <n v="6372.4250000000002"/>
    <n v="3986.95"/>
  </r>
  <r>
    <x v="13"/>
    <x v="10"/>
    <n v="6298.8379999999997"/>
    <n v="5170.5"/>
  </r>
  <r>
    <x v="13"/>
    <x v="11"/>
    <n v="6509.4380000000001"/>
    <n v="5239.8999999999996"/>
  </r>
  <r>
    <x v="13"/>
    <x v="12"/>
    <n v="6538.3"/>
    <n v="5970"/>
  </r>
  <r>
    <x v="13"/>
    <x v="13"/>
    <n v="6541.3379999999997"/>
    <n v="6004.3379999999997"/>
  </r>
  <r>
    <x v="13"/>
    <x v="14"/>
    <n v="6461.2"/>
    <n v="5506.875"/>
  </r>
  <r>
    <x v="13"/>
    <x v="15"/>
    <n v="6375.2129999999997"/>
    <n v="5212.8630000000003"/>
  </r>
  <r>
    <x v="13"/>
    <x v="16"/>
    <n v="6976.7380000000003"/>
    <n v="4309.4629999999997"/>
  </r>
  <r>
    <x v="13"/>
    <x v="17"/>
    <n v="6850.1880000000001"/>
    <n v="2943.1"/>
  </r>
  <r>
    <x v="13"/>
    <x v="18"/>
    <n v="6512.7129999999997"/>
    <n v="1639.95"/>
  </r>
  <r>
    <x v="13"/>
    <x v="19"/>
    <n v="5602.85"/>
    <n v="401.43799999999999"/>
  </r>
  <r>
    <x v="13"/>
    <x v="20"/>
    <n v="5012.5749999999998"/>
    <n v="0"/>
  </r>
  <r>
    <x v="13"/>
    <x v="21"/>
    <n v="4847.3879999999999"/>
    <n v="0"/>
  </r>
  <r>
    <x v="13"/>
    <x v="22"/>
    <n v="4398.375"/>
    <n v="0"/>
  </r>
  <r>
    <x v="13"/>
    <x v="23"/>
    <n v="3962.788"/>
    <n v="0"/>
  </r>
  <r>
    <x v="14"/>
    <x v="0"/>
    <n v="3412.875"/>
    <n v="0"/>
  </r>
  <r>
    <x v="14"/>
    <x v="1"/>
    <n v="2599.9250000000002"/>
    <n v="0"/>
  </r>
  <r>
    <x v="14"/>
    <x v="2"/>
    <n v="2349.8629999999998"/>
    <n v="0"/>
  </r>
  <r>
    <x v="14"/>
    <x v="3"/>
    <n v="2203.0880000000002"/>
    <n v="0"/>
  </r>
  <r>
    <x v="14"/>
    <x v="4"/>
    <n v="2138.9250000000002"/>
    <n v="0"/>
  </r>
  <r>
    <x v="14"/>
    <x v="5"/>
    <n v="2209.0880000000002"/>
    <n v="41.738"/>
  </r>
  <r>
    <x v="14"/>
    <x v="6"/>
    <n v="2132.9630000000002"/>
    <n v="265.21300000000002"/>
  </r>
  <r>
    <x v="14"/>
    <x v="7"/>
    <n v="1704.163"/>
    <n v="872.42499999999995"/>
  </r>
  <r>
    <x v="14"/>
    <x v="8"/>
    <n v="1390"/>
    <n v="2106.913"/>
  </r>
  <r>
    <x v="14"/>
    <x v="9"/>
    <n v="1246.6500000000001"/>
    <n v="4120.8879999999999"/>
  </r>
  <r>
    <x v="14"/>
    <x v="10"/>
    <n v="1263.1130000000001"/>
    <n v="5402.05"/>
  </r>
  <r>
    <x v="14"/>
    <x v="11"/>
    <n v="1257.0129999999999"/>
    <n v="6184.7879999999996"/>
  </r>
  <r>
    <x v="14"/>
    <x v="12"/>
    <n v="1076.1500000000001"/>
    <n v="6366.5379999999996"/>
  </r>
  <r>
    <x v="14"/>
    <x v="13"/>
    <n v="842.32500000000005"/>
    <n v="5958.9880000000003"/>
  </r>
  <r>
    <x v="14"/>
    <x v="14"/>
    <n v="685.6"/>
    <n v="5267.6379999999999"/>
  </r>
  <r>
    <x v="14"/>
    <x v="15"/>
    <n v="696.32500000000005"/>
    <n v="4558.4250000000002"/>
  </r>
  <r>
    <x v="14"/>
    <x v="16"/>
    <n v="668.73800000000006"/>
    <n v="3536.1129999999998"/>
  </r>
  <r>
    <x v="14"/>
    <x v="17"/>
    <n v="613.68799999999999"/>
    <n v="2229.5129999999999"/>
  </r>
  <r>
    <x v="14"/>
    <x v="18"/>
    <n v="666.21299999999997"/>
    <n v="1019.625"/>
  </r>
  <r>
    <x v="14"/>
    <x v="19"/>
    <n v="1073.825"/>
    <n v="275.10000000000002"/>
  </r>
  <r>
    <x v="14"/>
    <x v="20"/>
    <n v="1802.7750000000001"/>
    <n v="16.899999999999999"/>
  </r>
  <r>
    <x v="14"/>
    <x v="21"/>
    <n v="2176.7379999999998"/>
    <n v="0"/>
  </r>
  <r>
    <x v="14"/>
    <x v="22"/>
    <n v="2737.8380000000002"/>
    <n v="0"/>
  </r>
  <r>
    <x v="14"/>
    <x v="23"/>
    <n v="2771.35"/>
    <n v="0"/>
  </r>
  <r>
    <x v="15"/>
    <x v="0"/>
    <n v="3206.038"/>
    <n v="0"/>
  </r>
  <r>
    <x v="15"/>
    <x v="1"/>
    <n v="3041.5749999999998"/>
    <n v="0"/>
  </r>
  <r>
    <x v="15"/>
    <x v="2"/>
    <n v="3059.288"/>
    <n v="0"/>
  </r>
  <r>
    <x v="15"/>
    <x v="3"/>
    <n v="3767.3"/>
    <n v="0"/>
  </r>
  <r>
    <x v="15"/>
    <x v="4"/>
    <n v="4547.4629999999997"/>
    <n v="0"/>
  </r>
  <r>
    <x v="15"/>
    <x v="5"/>
    <n v="4833.8500000000004"/>
    <n v="54.274999999999999"/>
  </r>
  <r>
    <x v="15"/>
    <x v="6"/>
    <n v="5403.1750000000002"/>
    <n v="325.81299999999999"/>
  </r>
  <r>
    <x v="15"/>
    <x v="7"/>
    <n v="5836.0249999999996"/>
    <n v="1107.075"/>
  </r>
  <r>
    <x v="15"/>
    <x v="8"/>
    <n v="6202.0630000000001"/>
    <n v="2157.1129999999998"/>
  </r>
  <r>
    <x v="15"/>
    <x v="9"/>
    <n v="6557.2129999999997"/>
    <n v="3077.663"/>
  </r>
  <r>
    <x v="15"/>
    <x v="10"/>
    <n v="6800.7629999999999"/>
    <n v="4139.2"/>
  </r>
  <r>
    <x v="15"/>
    <x v="11"/>
    <n v="6714.5"/>
    <n v="4771.8879999999999"/>
  </r>
  <r>
    <x v="15"/>
    <x v="12"/>
    <n v="6545.4380000000001"/>
    <n v="5342.2749999999996"/>
  </r>
  <r>
    <x v="15"/>
    <x v="13"/>
    <n v="6455.5749999999998"/>
    <n v="5622.8379999999997"/>
  </r>
  <r>
    <x v="15"/>
    <x v="14"/>
    <n v="6052.4250000000002"/>
    <n v="5443.7629999999999"/>
  </r>
  <r>
    <x v="15"/>
    <x v="15"/>
    <n v="5514.3249999999998"/>
    <n v="4813.0129999999999"/>
  </r>
  <r>
    <x v="15"/>
    <x v="16"/>
    <n v="4683.6379999999999"/>
    <n v="3809.9879999999998"/>
  </r>
  <r>
    <x v="15"/>
    <x v="17"/>
    <n v="4193.0249999999996"/>
    <n v="2631.1880000000001"/>
  </r>
  <r>
    <x v="15"/>
    <x v="18"/>
    <n v="3605.6"/>
    <n v="1189.2750000000001"/>
  </r>
  <r>
    <x v="15"/>
    <x v="19"/>
    <n v="3165.8130000000001"/>
    <n v="346.08800000000002"/>
  </r>
  <r>
    <x v="15"/>
    <x v="20"/>
    <n v="3181.3629999999998"/>
    <n v="30.324999999999999"/>
  </r>
  <r>
    <x v="15"/>
    <x v="21"/>
    <n v="3564.0129999999999"/>
    <n v="0"/>
  </r>
  <r>
    <x v="15"/>
    <x v="22"/>
    <n v="3475.4250000000002"/>
    <n v="0"/>
  </r>
  <r>
    <x v="15"/>
    <x v="23"/>
    <n v="3159.6379999999999"/>
    <n v="0"/>
  </r>
  <r>
    <x v="16"/>
    <x v="0"/>
    <n v="2878.875"/>
    <n v="0"/>
  </r>
  <r>
    <x v="16"/>
    <x v="1"/>
    <n v="2527.9749999999999"/>
    <n v="0"/>
  </r>
  <r>
    <x v="16"/>
    <x v="2"/>
    <n v="2261.4"/>
    <n v="0"/>
  </r>
  <r>
    <x v="16"/>
    <x v="3"/>
    <n v="2010.65"/>
    <n v="0"/>
  </r>
  <r>
    <x v="16"/>
    <x v="4"/>
    <n v="2118.9250000000002"/>
    <n v="0"/>
  </r>
  <r>
    <x v="16"/>
    <x v="5"/>
    <n v="1950.7750000000001"/>
    <n v="93.263000000000005"/>
  </r>
  <r>
    <x v="16"/>
    <x v="6"/>
    <n v="1878.15"/>
    <n v="431.625"/>
  </r>
  <r>
    <x v="16"/>
    <x v="7"/>
    <n v="1701.65"/>
    <n v="1212.6379999999999"/>
  </r>
  <r>
    <x v="16"/>
    <x v="8"/>
    <n v="1884"/>
    <n v="2365.538"/>
  </r>
  <r>
    <x v="16"/>
    <x v="9"/>
    <n v="1902.7629999999999"/>
    <n v="3505.5129999999999"/>
  </r>
  <r>
    <x v="16"/>
    <x v="10"/>
    <n v="1701.713"/>
    <n v="4333.3999999999996"/>
  </r>
  <r>
    <x v="16"/>
    <x v="11"/>
    <n v="1613.3"/>
    <n v="4681.125"/>
  </r>
  <r>
    <x v="16"/>
    <x v="12"/>
    <n v="1565.875"/>
    <n v="4732.4629999999997"/>
  </r>
  <r>
    <x v="16"/>
    <x v="13"/>
    <n v="1509.5"/>
    <n v="4975.9250000000002"/>
  </r>
  <r>
    <x v="16"/>
    <x v="14"/>
    <n v="1533.288"/>
    <n v="4614.1130000000003"/>
  </r>
  <r>
    <x v="16"/>
    <x v="15"/>
    <n v="1480.588"/>
    <n v="4263.0129999999999"/>
  </r>
  <r>
    <x v="16"/>
    <x v="16"/>
    <n v="1392.4"/>
    <n v="3740.45"/>
  </r>
  <r>
    <x v="16"/>
    <x v="17"/>
    <n v="1282.713"/>
    <n v="2461.4499999999998"/>
  </r>
  <r>
    <x v="16"/>
    <x v="18"/>
    <n v="1154.8879999999999"/>
    <n v="1051.2380000000001"/>
  </r>
  <r>
    <x v="16"/>
    <x v="19"/>
    <n v="1046.0129999999999"/>
    <n v="227.42500000000001"/>
  </r>
  <r>
    <x v="16"/>
    <x v="20"/>
    <n v="924.46299999999997"/>
    <n v="5.5250000000000004"/>
  </r>
  <r>
    <x v="16"/>
    <x v="21"/>
    <n v="838.05"/>
    <n v="0"/>
  </r>
  <r>
    <x v="16"/>
    <x v="22"/>
    <n v="799.63800000000003"/>
    <n v="0"/>
  </r>
  <r>
    <x v="16"/>
    <x v="23"/>
    <n v="796.38800000000003"/>
    <n v="0"/>
  </r>
  <r>
    <x v="17"/>
    <x v="0"/>
    <n v="832.66300000000001"/>
    <n v="0"/>
  </r>
  <r>
    <x v="17"/>
    <x v="1"/>
    <n v="983.56299999999999"/>
    <n v="0"/>
  </r>
  <r>
    <x v="17"/>
    <x v="2"/>
    <n v="1133.9880000000001"/>
    <n v="0"/>
  </r>
  <r>
    <x v="17"/>
    <x v="3"/>
    <n v="1195.9000000000001"/>
    <n v="0"/>
  </r>
  <r>
    <x v="17"/>
    <x v="4"/>
    <n v="1108.713"/>
    <n v="0"/>
  </r>
  <r>
    <x v="17"/>
    <x v="5"/>
    <n v="1068.5250000000001"/>
    <n v="23.388000000000002"/>
  </r>
  <r>
    <x v="17"/>
    <x v="6"/>
    <n v="1048.038"/>
    <n v="454.05"/>
  </r>
  <r>
    <x v="17"/>
    <x v="7"/>
    <n v="944.56299999999999"/>
    <n v="1750.7380000000001"/>
  </r>
  <r>
    <x v="17"/>
    <x v="8"/>
    <n v="970.76300000000003"/>
    <n v="3414.125"/>
  </r>
  <r>
    <x v="17"/>
    <x v="9"/>
    <n v="1167.2750000000001"/>
    <n v="4769.3879999999999"/>
  </r>
  <r>
    <x v="17"/>
    <x v="10"/>
    <n v="1420.288"/>
    <n v="5606.7380000000003"/>
  </r>
  <r>
    <x v="17"/>
    <x v="11"/>
    <n v="1610.7629999999999"/>
    <n v="6108"/>
  </r>
  <r>
    <x v="17"/>
    <x v="12"/>
    <n v="1773.963"/>
    <n v="6099.8630000000003"/>
  </r>
  <r>
    <x v="17"/>
    <x v="13"/>
    <n v="2041.9380000000001"/>
    <n v="5979.2129999999997"/>
  </r>
  <r>
    <x v="17"/>
    <x v="14"/>
    <n v="2218.8000000000002"/>
    <n v="6035.7380000000003"/>
  </r>
  <r>
    <x v="17"/>
    <x v="15"/>
    <n v="2332.3249999999998"/>
    <n v="5759.7879999999996"/>
  </r>
  <r>
    <x v="17"/>
    <x v="16"/>
    <n v="2170.6750000000002"/>
    <n v="4938.2129999999997"/>
  </r>
  <r>
    <x v="17"/>
    <x v="17"/>
    <n v="1907.463"/>
    <n v="3262.375"/>
  </r>
  <r>
    <x v="17"/>
    <x v="18"/>
    <n v="1663.9749999999999"/>
    <n v="1365.9"/>
  </r>
  <r>
    <x v="17"/>
    <x v="19"/>
    <n v="1374.0630000000001"/>
    <n v="343.58800000000002"/>
  </r>
  <r>
    <x v="17"/>
    <x v="20"/>
    <n v="1570.6880000000001"/>
    <n v="9.7750000000000004"/>
  </r>
  <r>
    <x v="17"/>
    <x v="21"/>
    <n v="1720.0129999999999"/>
    <n v="0"/>
  </r>
  <r>
    <x v="17"/>
    <x v="22"/>
    <n v="1954.838"/>
    <n v="0"/>
  </r>
  <r>
    <x v="17"/>
    <x v="23"/>
    <n v="2022.1880000000001"/>
    <n v="0"/>
  </r>
  <r>
    <x v="18"/>
    <x v="0"/>
    <n v="2147.4"/>
    <n v="0"/>
  </r>
  <r>
    <x v="18"/>
    <x v="1"/>
    <n v="2305.1999999999998"/>
    <n v="0"/>
  </r>
  <r>
    <x v="18"/>
    <x v="2"/>
    <n v="2501.9630000000002"/>
    <n v="0"/>
  </r>
  <r>
    <x v="18"/>
    <x v="3"/>
    <n v="2833.625"/>
    <n v="0"/>
  </r>
  <r>
    <x v="18"/>
    <x v="4"/>
    <n v="2877.9630000000002"/>
    <n v="0"/>
  </r>
  <r>
    <x v="18"/>
    <x v="5"/>
    <n v="2784.9879999999998"/>
    <n v="132.125"/>
  </r>
  <r>
    <x v="18"/>
    <x v="6"/>
    <n v="2484.5250000000001"/>
    <n v="723.76300000000003"/>
  </r>
  <r>
    <x v="18"/>
    <x v="7"/>
    <n v="2028.2380000000001"/>
    <n v="2284.4250000000002"/>
  </r>
  <r>
    <x v="18"/>
    <x v="8"/>
    <n v="1521.088"/>
    <n v="4433.2749999999996"/>
  </r>
  <r>
    <x v="18"/>
    <x v="9"/>
    <n v="1461.3130000000001"/>
    <n v="6028.0379999999996"/>
  </r>
  <r>
    <x v="18"/>
    <x v="10"/>
    <n v="1696.35"/>
    <n v="6467.6880000000001"/>
  </r>
  <r>
    <x v="18"/>
    <x v="11"/>
    <n v="1765.338"/>
    <n v="6435.5630000000001"/>
  </r>
  <r>
    <x v="18"/>
    <x v="12"/>
    <n v="1944.213"/>
    <n v="6565.6130000000003"/>
  </r>
  <r>
    <x v="18"/>
    <x v="13"/>
    <n v="1947.65"/>
    <n v="6601.0379999999996"/>
  </r>
  <r>
    <x v="18"/>
    <x v="14"/>
    <n v="1829.925"/>
    <n v="5915.05"/>
  </r>
  <r>
    <x v="18"/>
    <x v="15"/>
    <n v="1870.1379999999999"/>
    <n v="4890.9750000000004"/>
  </r>
  <r>
    <x v="18"/>
    <x v="16"/>
    <n v="1758.125"/>
    <n v="3690.0129999999999"/>
  </r>
  <r>
    <x v="18"/>
    <x v="17"/>
    <n v="1628.6379999999999"/>
    <n v="2319.663"/>
  </r>
  <r>
    <x v="18"/>
    <x v="18"/>
    <n v="1580.4749999999999"/>
    <n v="1186.9000000000001"/>
  </r>
  <r>
    <x v="18"/>
    <x v="19"/>
    <n v="1403.1880000000001"/>
    <n v="457.76299999999998"/>
  </r>
  <r>
    <x v="18"/>
    <x v="20"/>
    <n v="1497.7249999999999"/>
    <n v="12.788"/>
  </r>
  <r>
    <x v="18"/>
    <x v="21"/>
    <n v="1671.663"/>
    <n v="0"/>
  </r>
  <r>
    <x v="18"/>
    <x v="22"/>
    <n v="1720.963"/>
    <n v="0"/>
  </r>
  <r>
    <x v="18"/>
    <x v="23"/>
    <n v="1723.9"/>
    <n v="0"/>
  </r>
  <r>
    <x v="19"/>
    <x v="0"/>
    <n v="1948.213"/>
    <n v="0"/>
  </r>
  <r>
    <x v="19"/>
    <x v="1"/>
    <n v="2266.5630000000001"/>
    <n v="0"/>
  </r>
  <r>
    <x v="19"/>
    <x v="2"/>
    <n v="2522.8130000000001"/>
    <n v="0"/>
  </r>
  <r>
    <x v="19"/>
    <x v="3"/>
    <n v="2655.8879999999999"/>
    <n v="0"/>
  </r>
  <r>
    <x v="19"/>
    <x v="4"/>
    <n v="2681.55"/>
    <n v="0"/>
  </r>
  <r>
    <x v="19"/>
    <x v="5"/>
    <n v="2601.2750000000001"/>
    <n v="260.22500000000002"/>
  </r>
  <r>
    <x v="19"/>
    <x v="6"/>
    <n v="2638.5749999999998"/>
    <n v="681.01300000000003"/>
  </r>
  <r>
    <x v="19"/>
    <x v="7"/>
    <n v="2693.7379999999998"/>
    <n v="1367.7249999999999"/>
  </r>
  <r>
    <x v="19"/>
    <x v="8"/>
    <n v="2936.288"/>
    <n v="2244.9879999999998"/>
  </r>
  <r>
    <x v="19"/>
    <x v="9"/>
    <n v="3229.1880000000001"/>
    <n v="3289.05"/>
  </r>
  <r>
    <x v="19"/>
    <x v="10"/>
    <n v="3333.2750000000001"/>
    <n v="3780.8"/>
  </r>
  <r>
    <x v="19"/>
    <x v="11"/>
    <n v="3592.125"/>
    <n v="4266.5379999999996"/>
  </r>
  <r>
    <x v="19"/>
    <x v="12"/>
    <n v="3842.413"/>
    <n v="4328.0379999999996"/>
  </r>
  <r>
    <x v="19"/>
    <x v="13"/>
    <n v="3900.3380000000002"/>
    <n v="4282.625"/>
  </r>
  <r>
    <x v="19"/>
    <x v="14"/>
    <n v="3871.4879999999998"/>
    <n v="3939.6"/>
  </r>
  <r>
    <x v="19"/>
    <x v="15"/>
    <n v="3587.1880000000001"/>
    <n v="3408.8380000000002"/>
  </r>
  <r>
    <x v="19"/>
    <x v="16"/>
    <n v="3293.0129999999999"/>
    <n v="2702.4749999999999"/>
  </r>
  <r>
    <x v="19"/>
    <x v="17"/>
    <n v="2748.3879999999999"/>
    <n v="1841.338"/>
  </r>
  <r>
    <x v="19"/>
    <x v="18"/>
    <n v="2197.9250000000002"/>
    <n v="893.51300000000003"/>
  </r>
  <r>
    <x v="19"/>
    <x v="19"/>
    <n v="1794.8130000000001"/>
    <n v="211.27500000000001"/>
  </r>
  <r>
    <x v="19"/>
    <x v="20"/>
    <n v="1357.075"/>
    <n v="6.0880000000000001"/>
  </r>
  <r>
    <x v="19"/>
    <x v="21"/>
    <n v="1288.213"/>
    <n v="0"/>
  </r>
  <r>
    <x v="19"/>
    <x v="22"/>
    <n v="1273.3630000000001"/>
    <n v="0"/>
  </r>
  <r>
    <x v="19"/>
    <x v="23"/>
    <n v="1262.5250000000001"/>
    <n v="0"/>
  </r>
  <r>
    <x v="20"/>
    <x v="0"/>
    <n v="1398.838"/>
    <n v="0"/>
  </r>
  <r>
    <x v="20"/>
    <x v="1"/>
    <n v="1532.7249999999999"/>
    <n v="0"/>
  </r>
  <r>
    <x v="20"/>
    <x v="2"/>
    <n v="1704.1880000000001"/>
    <n v="0"/>
  </r>
  <r>
    <x v="20"/>
    <x v="3"/>
    <n v="1849.1"/>
    <n v="0"/>
  </r>
  <r>
    <x v="20"/>
    <x v="4"/>
    <n v="1937.375"/>
    <n v="0"/>
  </r>
  <r>
    <x v="20"/>
    <x v="5"/>
    <n v="2067.2629999999999"/>
    <n v="38.700000000000003"/>
  </r>
  <r>
    <x v="20"/>
    <x v="6"/>
    <n v="2184.8380000000002"/>
    <n v="474.45"/>
  </r>
  <r>
    <x v="20"/>
    <x v="7"/>
    <n v="1934.588"/>
    <n v="1766.1880000000001"/>
  </r>
  <r>
    <x v="20"/>
    <x v="8"/>
    <n v="1946.1130000000001"/>
    <n v="3378.413"/>
  </r>
  <r>
    <x v="20"/>
    <x v="9"/>
    <n v="2419.8380000000002"/>
    <n v="4721.9629999999997"/>
  </r>
  <r>
    <x v="20"/>
    <x v="10"/>
    <n v="2898.95"/>
    <n v="5160.4629999999997"/>
  </r>
  <r>
    <x v="20"/>
    <x v="11"/>
    <n v="3274.163"/>
    <n v="5038.2629999999999"/>
  </r>
  <r>
    <x v="20"/>
    <x v="12"/>
    <n v="3595.8380000000002"/>
    <n v="4713.7879999999996"/>
  </r>
  <r>
    <x v="20"/>
    <x v="13"/>
    <n v="3973.15"/>
    <n v="4531.9250000000002"/>
  </r>
  <r>
    <x v="20"/>
    <x v="14"/>
    <n v="4240.5249999999996"/>
    <n v="4170.3500000000004"/>
  </r>
  <r>
    <x v="20"/>
    <x v="15"/>
    <n v="4450.5879999999997"/>
    <n v="3515.0630000000001"/>
  </r>
  <r>
    <x v="20"/>
    <x v="16"/>
    <n v="4511.9629999999997"/>
    <n v="2743.9879999999998"/>
  </r>
  <r>
    <x v="20"/>
    <x v="17"/>
    <n v="4392.3630000000003"/>
    <n v="1887.788"/>
  </r>
  <r>
    <x v="20"/>
    <x v="18"/>
    <n v="4057.6880000000001"/>
    <n v="909.85"/>
  </r>
  <r>
    <x v="20"/>
    <x v="19"/>
    <n v="3567.875"/>
    <n v="212.28800000000001"/>
  </r>
  <r>
    <x v="20"/>
    <x v="20"/>
    <n v="3013.4380000000001"/>
    <n v="6.1"/>
  </r>
  <r>
    <x v="20"/>
    <x v="21"/>
    <n v="2788.8130000000001"/>
    <n v="0"/>
  </r>
  <r>
    <x v="20"/>
    <x v="22"/>
    <n v="2913.0880000000002"/>
    <n v="0"/>
  </r>
  <r>
    <x v="20"/>
    <x v="23"/>
    <n v="2756.2"/>
    <n v="0"/>
  </r>
  <r>
    <x v="21"/>
    <x v="0"/>
    <n v="2444.663"/>
    <n v="0"/>
  </r>
  <r>
    <x v="21"/>
    <x v="1"/>
    <n v="2285.6880000000001"/>
    <n v="0"/>
  </r>
  <r>
    <x v="21"/>
    <x v="2"/>
    <n v="2196.663"/>
    <n v="0"/>
  </r>
  <r>
    <x v="21"/>
    <x v="3"/>
    <n v="2105.1379999999999"/>
    <n v="0"/>
  </r>
  <r>
    <x v="21"/>
    <x v="4"/>
    <n v="2107.9250000000002"/>
    <n v="0"/>
  </r>
  <r>
    <x v="21"/>
    <x v="5"/>
    <n v="2172.9380000000001"/>
    <n v="56.024999999999999"/>
  </r>
  <r>
    <x v="21"/>
    <x v="6"/>
    <n v="2164.1129999999998"/>
    <n v="442.78800000000001"/>
  </r>
  <r>
    <x v="21"/>
    <x v="7"/>
    <n v="2141"/>
    <n v="1446.9"/>
  </r>
  <r>
    <x v="21"/>
    <x v="8"/>
    <n v="2122.288"/>
    <n v="2735.5880000000002"/>
  </r>
  <r>
    <x v="21"/>
    <x v="9"/>
    <n v="2205.788"/>
    <n v="3847.4630000000002"/>
  </r>
  <r>
    <x v="21"/>
    <x v="10"/>
    <n v="2236.8130000000001"/>
    <n v="4368.1379999999999"/>
  </r>
  <r>
    <x v="21"/>
    <x v="11"/>
    <n v="2309.5500000000002"/>
    <n v="4245.9380000000001"/>
  </r>
  <r>
    <x v="21"/>
    <x v="12"/>
    <n v="2168.6129999999998"/>
    <n v="4059.038"/>
  </r>
  <r>
    <x v="21"/>
    <x v="13"/>
    <n v="2051.375"/>
    <n v="3880.1750000000002"/>
  </r>
  <r>
    <x v="21"/>
    <x v="14"/>
    <n v="1815.825"/>
    <n v="3558.1129999999998"/>
  </r>
  <r>
    <x v="21"/>
    <x v="15"/>
    <n v="1594.1379999999999"/>
    <n v="3103.875"/>
  </r>
  <r>
    <x v="21"/>
    <x v="16"/>
    <n v="1369.25"/>
    <n v="2497.6129999999998"/>
  </r>
  <r>
    <x v="21"/>
    <x v="17"/>
    <n v="1099.7249999999999"/>
    <n v="1671.1130000000001"/>
  </r>
  <r>
    <x v="21"/>
    <x v="18"/>
    <n v="862.26300000000003"/>
    <n v="807.27499999999998"/>
  </r>
  <r>
    <x v="21"/>
    <x v="19"/>
    <n v="603.875"/>
    <n v="205.08799999999999"/>
  </r>
  <r>
    <x v="21"/>
    <x v="20"/>
    <n v="531.21299999999997"/>
    <n v="38.024999999999999"/>
  </r>
  <r>
    <x v="21"/>
    <x v="21"/>
    <n v="493.91300000000001"/>
    <n v="0"/>
  </r>
  <r>
    <x v="21"/>
    <x v="22"/>
    <n v="434.97500000000002"/>
    <n v="0"/>
  </r>
  <r>
    <x v="21"/>
    <x v="23"/>
    <n v="443.738"/>
    <n v="0"/>
  </r>
  <r>
    <x v="22"/>
    <x v="0"/>
    <n v="421.71300000000002"/>
    <n v="0"/>
  </r>
  <r>
    <x v="22"/>
    <x v="1"/>
    <n v="421.41300000000001"/>
    <n v="0"/>
  </r>
  <r>
    <x v="22"/>
    <x v="2"/>
    <n v="424.32499999999999"/>
    <n v="0"/>
  </r>
  <r>
    <x v="22"/>
    <x v="3"/>
    <n v="475.82499999999999"/>
    <n v="0"/>
  </r>
  <r>
    <x v="22"/>
    <x v="4"/>
    <n v="548.22500000000002"/>
    <n v="0"/>
  </r>
  <r>
    <x v="22"/>
    <x v="5"/>
    <n v="646.76300000000003"/>
    <n v="66.75"/>
  </r>
  <r>
    <x v="22"/>
    <x v="6"/>
    <n v="730.15"/>
    <n v="624.79999999999995"/>
  </r>
  <r>
    <x v="22"/>
    <x v="7"/>
    <n v="611.51300000000003"/>
    <n v="2220.038"/>
  </r>
  <r>
    <x v="22"/>
    <x v="8"/>
    <n v="560.81299999999999"/>
    <n v="4509.7629999999999"/>
  </r>
  <r>
    <x v="22"/>
    <x v="9"/>
    <n v="604.07500000000005"/>
    <n v="6009.375"/>
  </r>
  <r>
    <x v="22"/>
    <x v="10"/>
    <n v="771.81299999999999"/>
    <n v="6756.8130000000001"/>
  </r>
  <r>
    <x v="22"/>
    <x v="11"/>
    <n v="884"/>
    <n v="6561.5379999999996"/>
  </r>
  <r>
    <x v="22"/>
    <x v="12"/>
    <n v="869.46299999999997"/>
    <n v="6942.3130000000001"/>
  </r>
  <r>
    <x v="22"/>
    <x v="13"/>
    <n v="865.21299999999997"/>
    <n v="7253.5379999999996"/>
  </r>
  <r>
    <x v="22"/>
    <x v="14"/>
    <n v="796.05"/>
    <n v="7172.7380000000003"/>
  </r>
  <r>
    <x v="22"/>
    <x v="15"/>
    <n v="676.75"/>
    <n v="6145.2879999999996"/>
  </r>
  <r>
    <x v="22"/>
    <x v="16"/>
    <n v="512.625"/>
    <n v="4845.6000000000004"/>
  </r>
  <r>
    <x v="22"/>
    <x v="17"/>
    <n v="417.5"/>
    <n v="3004.7629999999999"/>
  </r>
  <r>
    <x v="22"/>
    <x v="18"/>
    <n v="377.32499999999999"/>
    <n v="1426.675"/>
  </r>
  <r>
    <x v="22"/>
    <x v="19"/>
    <n v="552.58799999999997"/>
    <n v="450.125"/>
  </r>
  <r>
    <x v="22"/>
    <x v="20"/>
    <n v="849.4"/>
    <n v="49.463000000000001"/>
  </r>
  <r>
    <x v="22"/>
    <x v="21"/>
    <n v="1143.675"/>
    <n v="0"/>
  </r>
  <r>
    <x v="22"/>
    <x v="22"/>
    <n v="1355.6379999999999"/>
    <n v="0"/>
  </r>
  <r>
    <x v="22"/>
    <x v="23"/>
    <n v="1587.25"/>
    <n v="0"/>
  </r>
  <r>
    <x v="23"/>
    <x v="0"/>
    <n v="1856.2249999999999"/>
    <n v="0"/>
  </r>
  <r>
    <x v="23"/>
    <x v="1"/>
    <n v="2004.8630000000001"/>
    <n v="0"/>
  </r>
  <r>
    <x v="23"/>
    <x v="2"/>
    <n v="1942.425"/>
    <n v="0"/>
  </r>
  <r>
    <x v="23"/>
    <x v="3"/>
    <n v="1797.0250000000001"/>
    <n v="0"/>
  </r>
  <r>
    <x v="23"/>
    <x v="4"/>
    <n v="1627.1130000000001"/>
    <n v="0"/>
  </r>
  <r>
    <x v="23"/>
    <x v="5"/>
    <n v="1479.425"/>
    <n v="114.77500000000001"/>
  </r>
  <r>
    <x v="23"/>
    <x v="6"/>
    <n v="1272.9880000000001"/>
    <n v="633.08799999999997"/>
  </r>
  <r>
    <x v="23"/>
    <x v="7"/>
    <n v="820.93799999999999"/>
    <n v="1677.075"/>
  </r>
  <r>
    <x v="23"/>
    <x v="8"/>
    <n v="444.613"/>
    <n v="2961.3629999999998"/>
  </r>
  <r>
    <x v="23"/>
    <x v="9"/>
    <n v="346.07499999999999"/>
    <n v="4438.3630000000003"/>
  </r>
  <r>
    <x v="23"/>
    <x v="10"/>
    <n v="400.25"/>
    <n v="5538.8249999999998"/>
  </r>
  <r>
    <x v="23"/>
    <x v="11"/>
    <n v="468.875"/>
    <n v="5703.8379999999997"/>
  </r>
  <r>
    <x v="23"/>
    <x v="12"/>
    <n v="546.43799999999999"/>
    <n v="5460.4750000000004"/>
  </r>
  <r>
    <x v="23"/>
    <x v="13"/>
    <n v="667.36300000000006"/>
    <n v="5304.3630000000003"/>
  </r>
  <r>
    <x v="23"/>
    <x v="14"/>
    <n v="822.86300000000006"/>
    <n v="4556.125"/>
  </r>
  <r>
    <x v="23"/>
    <x v="15"/>
    <n v="922.45"/>
    <n v="3752.7379999999998"/>
  </r>
  <r>
    <x v="23"/>
    <x v="16"/>
    <n v="1021.088"/>
    <n v="2874.7249999999999"/>
  </r>
  <r>
    <x v="23"/>
    <x v="17"/>
    <n v="1162.538"/>
    <n v="1860.8630000000001"/>
  </r>
  <r>
    <x v="23"/>
    <x v="18"/>
    <n v="1165.1379999999999"/>
    <n v="979.18799999999999"/>
  </r>
  <r>
    <x v="23"/>
    <x v="19"/>
    <n v="1097.3"/>
    <n v="281"/>
  </r>
  <r>
    <x v="23"/>
    <x v="20"/>
    <n v="1061.6500000000001"/>
    <n v="20.524999999999999"/>
  </r>
  <r>
    <x v="23"/>
    <x v="21"/>
    <n v="1075.3630000000001"/>
    <n v="0"/>
  </r>
  <r>
    <x v="23"/>
    <x v="22"/>
    <n v="1059.625"/>
    <n v="0"/>
  </r>
  <r>
    <x v="23"/>
    <x v="23"/>
    <n v="943.01300000000003"/>
    <n v="0"/>
  </r>
  <r>
    <x v="24"/>
    <x v="0"/>
    <n v="916.68799999999999"/>
    <n v="0"/>
  </r>
  <r>
    <x v="24"/>
    <x v="1"/>
    <n v="812.21299999999997"/>
    <n v="0"/>
  </r>
  <r>
    <x v="24"/>
    <x v="2"/>
    <n v="826.8"/>
    <n v="0"/>
  </r>
  <r>
    <x v="24"/>
    <x v="3"/>
    <n v="789.55"/>
    <n v="0"/>
  </r>
  <r>
    <x v="24"/>
    <x v="4"/>
    <n v="709.35"/>
    <n v="0"/>
  </r>
  <r>
    <x v="24"/>
    <x v="5"/>
    <n v="649.67499999999995"/>
    <n v="70.738"/>
  </r>
  <r>
    <x v="24"/>
    <x v="6"/>
    <n v="643.02499999999998"/>
    <n v="588.23800000000006"/>
  </r>
  <r>
    <x v="24"/>
    <x v="7"/>
    <n v="498.13799999999998"/>
    <n v="1954.5129999999999"/>
  </r>
  <r>
    <x v="24"/>
    <x v="8"/>
    <n v="327.488"/>
    <n v="3962.5880000000002"/>
  </r>
  <r>
    <x v="24"/>
    <x v="9"/>
    <n v="334.21300000000002"/>
    <n v="5705.2129999999997"/>
  </r>
  <r>
    <x v="24"/>
    <x v="10"/>
    <n v="454.28800000000001"/>
    <n v="6661.0630000000001"/>
  </r>
  <r>
    <x v="24"/>
    <x v="11"/>
    <n v="566.375"/>
    <n v="7085.5129999999999"/>
  </r>
  <r>
    <x v="24"/>
    <x v="12"/>
    <n v="840.11300000000006"/>
    <n v="7051.4880000000003"/>
  </r>
  <r>
    <x v="24"/>
    <x v="13"/>
    <n v="1195.9380000000001"/>
    <n v="6787.8249999999998"/>
  </r>
  <r>
    <x v="24"/>
    <x v="14"/>
    <n v="1197.925"/>
    <n v="6747.8"/>
  </r>
  <r>
    <x v="24"/>
    <x v="15"/>
    <n v="1209.425"/>
    <n v="6309.6379999999999"/>
  </r>
  <r>
    <x v="24"/>
    <x v="16"/>
    <n v="1406.4880000000001"/>
    <n v="4961.95"/>
  </r>
  <r>
    <x v="24"/>
    <x v="17"/>
    <n v="1202.213"/>
    <n v="3556.375"/>
  </r>
  <r>
    <x v="24"/>
    <x v="18"/>
    <n v="812.52499999999998"/>
    <n v="1637.338"/>
  </r>
  <r>
    <x v="24"/>
    <x v="19"/>
    <n v="826.71299999999997"/>
    <n v="483.93799999999999"/>
  </r>
  <r>
    <x v="24"/>
    <x v="20"/>
    <n v="986.92499999999995"/>
    <n v="43.338000000000001"/>
  </r>
  <r>
    <x v="24"/>
    <x v="21"/>
    <n v="1386.2"/>
    <n v="0"/>
  </r>
  <r>
    <x v="24"/>
    <x v="22"/>
    <n v="1638.1"/>
    <n v="0"/>
  </r>
  <r>
    <x v="24"/>
    <x v="23"/>
    <n v="2046.35"/>
    <n v="0"/>
  </r>
  <r>
    <x v="25"/>
    <x v="0"/>
    <n v="2263.875"/>
    <n v="0"/>
  </r>
  <r>
    <x v="25"/>
    <x v="1"/>
    <n v="2458.625"/>
    <n v="0"/>
  </r>
  <r>
    <x v="25"/>
    <x v="2"/>
    <n v="2301.0749999999998"/>
    <n v="0"/>
  </r>
  <r>
    <x v="25"/>
    <x v="3"/>
    <n v="2109.3380000000002"/>
    <n v="0"/>
  </r>
  <r>
    <x v="25"/>
    <x v="4"/>
    <n v="2023.55"/>
    <n v="0"/>
  </r>
  <r>
    <x v="25"/>
    <x v="5"/>
    <n v="1784.9749999999999"/>
    <n v="161.97499999999999"/>
  </r>
  <r>
    <x v="25"/>
    <x v="6"/>
    <n v="1567.675"/>
    <n v="1019.7380000000001"/>
  </r>
  <r>
    <x v="25"/>
    <x v="7"/>
    <n v="964.16300000000001"/>
    <n v="3401.7379999999998"/>
  </r>
  <r>
    <x v="25"/>
    <x v="8"/>
    <n v="340.32499999999999"/>
    <n v="6584.1629999999996"/>
  </r>
  <r>
    <x v="25"/>
    <x v="9"/>
    <n v="347.58800000000002"/>
    <n v="9175.8250000000007"/>
  </r>
  <r>
    <x v="25"/>
    <x v="10"/>
    <n v="794.97500000000002"/>
    <n v="10221.475"/>
  </r>
  <r>
    <x v="25"/>
    <x v="11"/>
    <n v="1097.7"/>
    <n v="9122.9249999999993"/>
  </r>
  <r>
    <x v="25"/>
    <x v="12"/>
    <n v="1180.2380000000001"/>
    <n v="8306.6380000000008"/>
  </r>
  <r>
    <x v="25"/>
    <x v="13"/>
    <n v="1288.9000000000001"/>
    <n v="7050.75"/>
  </r>
  <r>
    <x v="25"/>
    <x v="14"/>
    <n v="1493.075"/>
    <n v="6062.5749999999998"/>
  </r>
  <r>
    <x v="25"/>
    <x v="15"/>
    <n v="1700.825"/>
    <n v="5928.65"/>
  </r>
  <r>
    <x v="25"/>
    <x v="16"/>
    <n v="1787.45"/>
    <n v="4994.0129999999999"/>
  </r>
  <r>
    <x v="25"/>
    <x v="17"/>
    <n v="1652.0250000000001"/>
    <n v="3616.875"/>
  </r>
  <r>
    <x v="25"/>
    <x v="18"/>
    <n v="1363.95"/>
    <n v="1739.125"/>
  </r>
  <r>
    <x v="25"/>
    <x v="19"/>
    <n v="1101.9000000000001"/>
    <n v="467.45"/>
  </r>
  <r>
    <x v="25"/>
    <x v="20"/>
    <n v="1571.6379999999999"/>
    <n v="36.088000000000001"/>
  </r>
  <r>
    <x v="25"/>
    <x v="21"/>
    <n v="2538.8380000000002"/>
    <n v="0"/>
  </r>
  <r>
    <x v="25"/>
    <x v="22"/>
    <n v="3423.9"/>
    <n v="0"/>
  </r>
  <r>
    <x v="25"/>
    <x v="23"/>
    <n v="3971.375"/>
    <n v="0"/>
  </r>
  <r>
    <x v="26"/>
    <x v="0"/>
    <n v="4154.6499999999996"/>
    <n v="0"/>
  </r>
  <r>
    <x v="26"/>
    <x v="1"/>
    <n v="4045.5630000000001"/>
    <n v="0"/>
  </r>
  <r>
    <x v="26"/>
    <x v="2"/>
    <n v="3708.0630000000001"/>
    <n v="0"/>
  </r>
  <r>
    <x v="26"/>
    <x v="3"/>
    <n v="3345.4630000000002"/>
    <n v="0"/>
  </r>
  <r>
    <x v="26"/>
    <x v="4"/>
    <n v="3113.6750000000002"/>
    <n v="0"/>
  </r>
  <r>
    <x v="26"/>
    <x v="5"/>
    <n v="2879.9879999999998"/>
    <n v="119.71299999999999"/>
  </r>
  <r>
    <x v="26"/>
    <x v="6"/>
    <n v="2648.2750000000001"/>
    <n v="805.07500000000005"/>
  </r>
  <r>
    <x v="26"/>
    <x v="7"/>
    <n v="1875.2"/>
    <n v="2531.3629999999998"/>
  </r>
  <r>
    <x v="26"/>
    <x v="8"/>
    <n v="988.23800000000006"/>
    <n v="5034.7749999999996"/>
  </r>
  <r>
    <x v="26"/>
    <x v="9"/>
    <n v="623.72500000000002"/>
    <n v="7472.6"/>
  </r>
  <r>
    <x v="26"/>
    <x v="10"/>
    <n v="789.15"/>
    <n v="9395.8880000000008"/>
  </r>
  <r>
    <x v="26"/>
    <x v="11"/>
    <n v="1219.3130000000001"/>
    <n v="9911.1129999999994"/>
  </r>
  <r>
    <x v="26"/>
    <x v="12"/>
    <n v="1398.75"/>
    <n v="8829.7749999999996"/>
  </r>
  <r>
    <x v="26"/>
    <x v="13"/>
    <n v="1283.0630000000001"/>
    <n v="7911.3"/>
  </r>
  <r>
    <x v="26"/>
    <x v="14"/>
    <n v="1164.413"/>
    <n v="7714.4"/>
  </r>
  <r>
    <x v="26"/>
    <x v="15"/>
    <n v="1047.3630000000001"/>
    <n v="7125.4129999999996"/>
  </r>
  <r>
    <x v="26"/>
    <x v="16"/>
    <n v="1025.1500000000001"/>
    <n v="5647.45"/>
  </r>
  <r>
    <x v="26"/>
    <x v="17"/>
    <n v="1086.4880000000001"/>
    <n v="4101.1379999999999"/>
  </r>
  <r>
    <x v="26"/>
    <x v="18"/>
    <n v="1000.438"/>
    <n v="1819"/>
  </r>
  <r>
    <x v="26"/>
    <x v="19"/>
    <n v="1175.338"/>
    <n v="490.83800000000002"/>
  </r>
  <r>
    <x v="26"/>
    <x v="20"/>
    <n v="1868.4380000000001"/>
    <n v="29.363"/>
  </r>
  <r>
    <x v="26"/>
    <x v="21"/>
    <n v="3060.3"/>
    <n v="0"/>
  </r>
  <r>
    <x v="26"/>
    <x v="22"/>
    <n v="4255.8999999999996"/>
    <n v="0"/>
  </r>
  <r>
    <x v="26"/>
    <x v="23"/>
    <n v="5003.4250000000002"/>
    <n v="0"/>
  </r>
  <r>
    <x v="27"/>
    <x v="0"/>
    <n v="4937.6379999999999"/>
    <n v="0"/>
  </r>
  <r>
    <x v="27"/>
    <x v="1"/>
    <n v="4861.2129999999997"/>
    <n v="0"/>
  </r>
  <r>
    <x v="27"/>
    <x v="2"/>
    <n v="4697.5630000000001"/>
    <n v="0"/>
  </r>
  <r>
    <x v="27"/>
    <x v="3"/>
    <n v="4528.9129999999996"/>
    <n v="0"/>
  </r>
  <r>
    <x v="27"/>
    <x v="4"/>
    <n v="4417.8379999999997"/>
    <n v="0"/>
  </r>
  <r>
    <x v="27"/>
    <x v="5"/>
    <n v="4356.125"/>
    <n v="168.47499999999999"/>
  </r>
  <r>
    <x v="27"/>
    <x v="6"/>
    <n v="4266.1629999999996"/>
    <n v="1088.675"/>
  </r>
  <r>
    <x v="27"/>
    <x v="7"/>
    <n v="3305.3130000000001"/>
    <n v="2829.788"/>
  </r>
  <r>
    <x v="27"/>
    <x v="8"/>
    <n v="2211.1129999999998"/>
    <n v="4604.8379999999997"/>
  </r>
  <r>
    <x v="27"/>
    <x v="9"/>
    <n v="2445.8130000000001"/>
    <n v="5843.4380000000001"/>
  </r>
  <r>
    <x v="27"/>
    <x v="10"/>
    <n v="3334.0250000000001"/>
    <n v="6848.5879999999997"/>
  </r>
  <r>
    <x v="27"/>
    <x v="11"/>
    <n v="3987.3"/>
    <n v="7276.5"/>
  </r>
  <r>
    <x v="27"/>
    <x v="12"/>
    <n v="4037.15"/>
    <n v="7053.0379999999996"/>
  </r>
  <r>
    <x v="27"/>
    <x v="13"/>
    <n v="3850.6129999999998"/>
    <n v="5970.6"/>
  </r>
  <r>
    <x v="27"/>
    <x v="14"/>
    <n v="3850.9380000000001"/>
    <n v="5464.1"/>
  </r>
  <r>
    <x v="27"/>
    <x v="15"/>
    <n v="3784.788"/>
    <n v="4990.8"/>
  </r>
  <r>
    <x v="27"/>
    <x v="16"/>
    <n v="3922.8"/>
    <n v="4352.375"/>
  </r>
  <r>
    <x v="27"/>
    <x v="17"/>
    <n v="3755.6750000000002"/>
    <n v="3567.15"/>
  </r>
  <r>
    <x v="27"/>
    <x v="18"/>
    <n v="3201.7379999999998"/>
    <n v="2078.913"/>
  </r>
  <r>
    <x v="27"/>
    <x v="19"/>
    <n v="2948.0749999999998"/>
    <n v="692.42499999999995"/>
  </r>
  <r>
    <x v="27"/>
    <x v="20"/>
    <n v="3687.0880000000002"/>
    <n v="36.174999999999997"/>
  </r>
  <r>
    <x v="27"/>
    <x v="21"/>
    <n v="4782.7129999999997"/>
    <n v="0"/>
  </r>
  <r>
    <x v="27"/>
    <x v="22"/>
    <n v="5291.0630000000001"/>
    <n v="0"/>
  </r>
  <r>
    <x v="27"/>
    <x v="23"/>
    <n v="5382.25"/>
    <n v="0"/>
  </r>
  <r>
    <x v="28"/>
    <x v="0"/>
    <n v="5231.8130000000001"/>
    <n v="0"/>
  </r>
  <r>
    <x v="28"/>
    <x v="1"/>
    <n v="5017.125"/>
    <n v="0"/>
  </r>
  <r>
    <x v="28"/>
    <x v="2"/>
    <n v="4546.3999999999996"/>
    <n v="0"/>
  </r>
  <r>
    <x v="28"/>
    <x v="3"/>
    <n v="4131.4629999999997"/>
    <n v="0"/>
  </r>
  <r>
    <x v="28"/>
    <x v="4"/>
    <n v="3843.0749999999998"/>
    <n v="0.35"/>
  </r>
  <r>
    <x v="28"/>
    <x v="5"/>
    <n v="3584.4"/>
    <n v="118.938"/>
  </r>
  <r>
    <x v="28"/>
    <x v="6"/>
    <n v="3275.375"/>
    <n v="937.13800000000003"/>
  </r>
  <r>
    <x v="28"/>
    <x v="7"/>
    <n v="2384.5880000000002"/>
    <n v="2822.6379999999999"/>
  </r>
  <r>
    <x v="28"/>
    <x v="8"/>
    <n v="1347.375"/>
    <n v="5446.0379999999996"/>
  </r>
  <r>
    <x v="28"/>
    <x v="9"/>
    <n v="1094.95"/>
    <n v="7641.9750000000004"/>
  </r>
  <r>
    <x v="28"/>
    <x v="10"/>
    <n v="1180.338"/>
    <n v="9545.7630000000008"/>
  </r>
  <r>
    <x v="28"/>
    <x v="11"/>
    <n v="1330.15"/>
    <n v="9180.5380000000005"/>
  </r>
  <r>
    <x v="28"/>
    <x v="12"/>
    <n v="1515.0250000000001"/>
    <n v="8799.4500000000007"/>
  </r>
  <r>
    <x v="28"/>
    <x v="13"/>
    <n v="1608.875"/>
    <n v="8568.4750000000004"/>
  </r>
  <r>
    <x v="28"/>
    <x v="14"/>
    <n v="1706.5"/>
    <n v="7865.4380000000001"/>
  </r>
  <r>
    <x v="28"/>
    <x v="15"/>
    <n v="1699.413"/>
    <n v="7673.0379999999996"/>
  </r>
  <r>
    <x v="28"/>
    <x v="16"/>
    <n v="1678.7629999999999"/>
    <n v="6558.375"/>
  </r>
  <r>
    <x v="28"/>
    <x v="17"/>
    <n v="1672.45"/>
    <n v="4528.4629999999997"/>
  </r>
  <r>
    <x v="28"/>
    <x v="18"/>
    <n v="1669.963"/>
    <n v="2260.35"/>
  </r>
  <r>
    <x v="28"/>
    <x v="19"/>
    <n v="1912.2"/>
    <n v="688.36300000000006"/>
  </r>
  <r>
    <x v="28"/>
    <x v="20"/>
    <n v="2709.538"/>
    <n v="64.45"/>
  </r>
  <r>
    <x v="28"/>
    <x v="21"/>
    <n v="3575.3130000000001"/>
    <n v="0"/>
  </r>
  <r>
    <x v="28"/>
    <x v="22"/>
    <n v="4097.6750000000002"/>
    <n v="0"/>
  </r>
  <r>
    <x v="28"/>
    <x v="23"/>
    <n v="4326.8379999999997"/>
    <n v="0"/>
  </r>
  <r>
    <x v="29"/>
    <x v="0"/>
    <n v="4272.6629999999996"/>
    <n v="0"/>
  </r>
  <r>
    <x v="29"/>
    <x v="1"/>
    <n v="4037"/>
    <n v="0"/>
  </r>
  <r>
    <x v="29"/>
    <x v="2"/>
    <n v="3760.9380000000001"/>
    <n v="0"/>
  </r>
  <r>
    <x v="29"/>
    <x v="3"/>
    <n v="3717.3130000000001"/>
    <n v="0"/>
  </r>
  <r>
    <x v="29"/>
    <x v="4"/>
    <n v="3945.7379999999998"/>
    <n v="0.48799999999999999"/>
  </r>
  <r>
    <x v="29"/>
    <x v="5"/>
    <n v="4228.6000000000004"/>
    <n v="126.438"/>
  </r>
  <r>
    <x v="29"/>
    <x v="6"/>
    <n v="4063.1129999999998"/>
    <n v="1112.8499999999999"/>
  </r>
  <r>
    <x v="29"/>
    <x v="7"/>
    <n v="3116.538"/>
    <n v="3288.9"/>
  </r>
  <r>
    <x v="29"/>
    <x v="8"/>
    <n v="1871.9"/>
    <n v="6150.0630000000001"/>
  </r>
  <r>
    <x v="29"/>
    <x v="9"/>
    <n v="1349.9380000000001"/>
    <n v="8576.3130000000001"/>
  </r>
  <r>
    <x v="29"/>
    <x v="10"/>
    <n v="1425.5"/>
    <n v="9089.5130000000008"/>
  </r>
  <r>
    <x v="29"/>
    <x v="11"/>
    <n v="1697.8630000000001"/>
    <n v="8942.65"/>
  </r>
  <r>
    <x v="29"/>
    <x v="12"/>
    <n v="1998.0630000000001"/>
    <n v="9074.2630000000008"/>
  </r>
  <r>
    <x v="29"/>
    <x v="13"/>
    <n v="2532.5500000000002"/>
    <n v="9028.4380000000001"/>
  </r>
  <r>
    <x v="29"/>
    <x v="14"/>
    <n v="2994.6750000000002"/>
    <n v="8596.2630000000008"/>
  </r>
  <r>
    <x v="29"/>
    <x v="15"/>
    <n v="3244.65"/>
    <n v="7601.8379999999997"/>
  </r>
  <r>
    <x v="29"/>
    <x v="16"/>
    <n v="3232.6129999999998"/>
    <n v="7113.8630000000003"/>
  </r>
  <r>
    <x v="29"/>
    <x v="17"/>
    <n v="3254.4749999999999"/>
    <n v="5229.6379999999999"/>
  </r>
  <r>
    <x v="29"/>
    <x v="18"/>
    <n v="3098.8"/>
    <n v="2741.8"/>
  </r>
  <r>
    <x v="29"/>
    <x v="19"/>
    <n v="3200.6129999999998"/>
    <n v="806.36300000000006"/>
  </r>
  <r>
    <x v="29"/>
    <x v="20"/>
    <n v="4075.2629999999999"/>
    <n v="65.525000000000006"/>
  </r>
  <r>
    <x v="29"/>
    <x v="21"/>
    <n v="5190.4250000000002"/>
    <n v="0"/>
  </r>
  <r>
    <x v="29"/>
    <x v="22"/>
    <n v="5414.4750000000004"/>
    <n v="0"/>
  </r>
  <r>
    <x v="29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0700-B4D7-4C20-89A0-97E932A66D2F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 rowHeaderCaption="godzina">
  <location ref="M3:N28" firstHeaderRow="1" firstDataRow="1" firstDataCol="1" rowPageCount="1" colPageCount="1"/>
  <pivotFields count="4">
    <pivotField axis="axisPage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0" hier="-1"/>
  </pageFields>
  <dataFields count="1">
    <dataField name="Średnia z Zrodla_fotowoltaiczne" fld="3" subtotal="average" baseField="1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E3633-CC42-46E9-888E-AB871B69D799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R1:T32" firstHeaderRow="0" firstDataRow="1" firstDataCol="1"/>
  <pivotFields count="4">
    <pivotField axis="axisRow" numFmtId="14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showAll="0"/>
  </pivotFields>
  <rowFields count="1">
    <field x="0"/>
  </rowFields>
  <rowItems count="31">
    <i>
      <x v="29"/>
    </i>
    <i>
      <x v="28"/>
    </i>
    <i>
      <x v="8"/>
    </i>
    <i>
      <x v="26"/>
    </i>
    <i>
      <x v="25"/>
    </i>
    <i>
      <x v="10"/>
    </i>
    <i>
      <x v="12"/>
    </i>
    <i>
      <x v="7"/>
    </i>
    <i>
      <x v="5"/>
    </i>
    <i>
      <x v="22"/>
    </i>
    <i>
      <x v="24"/>
    </i>
    <i>
      <x v="6"/>
    </i>
    <i>
      <x v="27"/>
    </i>
    <i>
      <x v="11"/>
    </i>
    <i>
      <x v="18"/>
    </i>
    <i>
      <x v="17"/>
    </i>
    <i>
      <x v="4"/>
    </i>
    <i>
      <x v="13"/>
    </i>
    <i>
      <x v="14"/>
    </i>
    <i>
      <x/>
    </i>
    <i>
      <x v="23"/>
    </i>
    <i>
      <x v="15"/>
    </i>
    <i>
      <x v="20"/>
    </i>
    <i>
      <x v="9"/>
    </i>
    <i>
      <x v="16"/>
    </i>
    <i>
      <x v="3"/>
    </i>
    <i>
      <x v="2"/>
    </i>
    <i>
      <x v="19"/>
    </i>
    <i>
      <x v="21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rodla_wiatrowe" fld="2" baseField="0" baseItem="0"/>
    <dataField name="Suma z Zrodla_fotowoltaiczn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DD8825-D1B5-4230-8993-1F57E6B0B6B5}" autoFormatId="16" applyNumberFormats="0" applyBorderFormats="0" applyFontFormats="0" applyPatternFormats="0" applyAlignmentFormats="0" applyWidthHeightFormats="0">
  <queryTableRefresh nextId="11" unboundColumnsRight="6">
    <queryTableFields count="10">
      <queryTableField id="1" name="Data" tableColumnId="1"/>
      <queryTableField id="2" name="Godzina" tableColumnId="2"/>
      <queryTableField id="3" name="Zrodla_wiatrowe" tableColumnId="3"/>
      <queryTableField id="4" name="Zrodla_fotowoltaiczne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F37DB-B389-4887-A867-71776B6D2AE2}" name="energia" displayName="energia" ref="A1:J721" tableType="queryTable" totalsRowShown="0">
  <autoFilter ref="A1:J721" xr:uid="{CA4F37DB-B389-4887-A867-71776B6D2AE2}"/>
  <tableColumns count="10">
    <tableColumn id="1" xr3:uid="{8685D57B-27E6-412B-B2B3-6F6655CCECD9}" uniqueName="1" name="Data" queryTableFieldId="1" dataDxfId="5"/>
    <tableColumn id="2" xr3:uid="{533AE02C-87C8-4D1A-B4EB-62C689CB13D3}" uniqueName="2" name="Godzina" queryTableFieldId="2"/>
    <tableColumn id="3" xr3:uid="{A0D55373-57D7-497E-86D6-1AAA7C6520D6}" uniqueName="3" name="Zrodla_wiatrowe" queryTableFieldId="3"/>
    <tableColumn id="4" xr3:uid="{71334425-0CDA-4EF5-925E-141E8C785C32}" uniqueName="4" name="Zrodla_fotowoltaiczne" queryTableFieldId="4"/>
    <tableColumn id="5" xr3:uid="{9DEA4E98-4FFC-43B9-9CEA-A530BA3B8ADA}" uniqueName="5" name="Czy wiatr rosło" queryTableFieldId="5" dataDxfId="4">
      <calculatedColumnFormula>IF(energia[[#This Row],[Zrodla_wiatrowe]]&gt;C1,TRUE,FALSE)</calculatedColumnFormula>
    </tableColumn>
    <tableColumn id="6" xr3:uid="{040528CA-9743-4F42-8740-1529CD3B5CFE}" uniqueName="6" name="Dlugosc rosniecia wiatr" queryTableFieldId="6"/>
    <tableColumn id="7" xr3:uid="{C49C63AA-7F82-4F29-8439-41022A9F2A6C}" uniqueName="7" name="Zapotrzebowanie" queryTableFieldId="7" dataDxfId="3"/>
    <tableColumn id="8" xr3:uid="{49464F86-1CCD-494E-9DEF-8CE0621A770A}" uniqueName="8" name="Łączna produkcja" queryTableFieldId="8" dataDxfId="2">
      <calculatedColumnFormula>(energia[[#This Row],[Zrodla_wiatrowe]]+energia[[#This Row],[Zrodla_fotowoltaiczne]])</calculatedColumnFormula>
    </tableColumn>
    <tableColumn id="9" xr3:uid="{BB091762-A3EA-49C8-95D4-7C908F9F4D3A}" uniqueName="9" name="Magazyn" queryTableFieldId="9" dataDxfId="0">
      <calculatedColumnFormula>L1+energia[[#This Row],[Łączna produkcja]]-energia[[#This Row],[Zapotrzebowanie]]</calculatedColumnFormula>
    </tableColumn>
    <tableColumn id="10" xr3:uid="{5BF445FE-2F22-49C4-98BC-78F6F0B0AC9A}" uniqueName="10" name="Czy zabraklo" queryTableFieldId="10" dataDxfId="1">
      <calculatedColumnFormula>IF(energia[[#This Row],[Magazyn]]&lt;0,TRUE,FALSE)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53D6-2195-496B-9B42-62503A6AADC6}">
  <dimension ref="A1:W721"/>
  <sheetViews>
    <sheetView tabSelected="1" topLeftCell="I1" zoomScale="85" zoomScaleNormal="85" workbookViewId="0">
      <selection activeCell="N3" sqref="N3"/>
    </sheetView>
  </sheetViews>
  <sheetFormatPr defaultRowHeight="14.4" x14ac:dyDescent="0.3"/>
  <cols>
    <col min="1" max="1" width="10.6640625" bestFit="1" customWidth="1"/>
    <col min="2" max="2" width="10" bestFit="1" customWidth="1"/>
    <col min="3" max="3" width="17.44140625" bestFit="1" customWidth="1"/>
    <col min="4" max="4" width="22.21875" bestFit="1" customWidth="1"/>
    <col min="5" max="5" width="16.6640625" bestFit="1" customWidth="1"/>
    <col min="6" max="6" width="24.44140625" bestFit="1" customWidth="1"/>
    <col min="7" max="7" width="19.44140625" customWidth="1"/>
    <col min="8" max="8" width="20" customWidth="1"/>
    <col min="9" max="9" width="20.5546875" customWidth="1"/>
    <col min="10" max="10" width="17.88671875" bestFit="1" customWidth="1"/>
    <col min="11" max="11" width="21.5546875" customWidth="1"/>
    <col min="12" max="12" width="16.6640625" bestFit="1" customWidth="1"/>
    <col min="13" max="13" width="14.6640625" bestFit="1" customWidth="1"/>
    <col min="14" max="14" width="30.21875" bestFit="1" customWidth="1"/>
    <col min="18" max="18" width="18" bestFit="1" customWidth="1"/>
    <col min="19" max="19" width="23.33203125" bestFit="1" customWidth="1"/>
    <col min="20" max="20" width="28.33203125" bestFit="1" customWidth="1"/>
    <col min="22" max="22" width="26.77734375" bestFit="1" customWidth="1"/>
    <col min="23" max="23" width="10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21</v>
      </c>
      <c r="H1" s="4" t="s">
        <v>23</v>
      </c>
      <c r="I1" t="s">
        <v>22</v>
      </c>
      <c r="J1" t="s">
        <v>26</v>
      </c>
      <c r="K1" t="s">
        <v>24</v>
      </c>
      <c r="L1">
        <v>179736</v>
      </c>
      <c r="M1" s="2" t="s">
        <v>0</v>
      </c>
      <c r="N1" t="s">
        <v>12</v>
      </c>
      <c r="R1" s="2" t="s">
        <v>4</v>
      </c>
      <c r="S1" t="s">
        <v>6</v>
      </c>
      <c r="T1" t="s">
        <v>7</v>
      </c>
    </row>
    <row r="2" spans="1:23" x14ac:dyDescent="0.3">
      <c r="A2" s="1">
        <v>45383</v>
      </c>
      <c r="B2">
        <v>1</v>
      </c>
      <c r="C2">
        <v>3130.2629999999999</v>
      </c>
      <c r="D2">
        <v>0</v>
      </c>
      <c r="E2" t="b">
        <f>IF(energia[[#This Row],[Zrodla_wiatrowe]]&gt;C1,TRUE,FALSE)</f>
        <v>0</v>
      </c>
      <c r="F2">
        <v>0</v>
      </c>
      <c r="G2">
        <v>1524.5640000000001</v>
      </c>
      <c r="H2" s="6">
        <f>(energia[[#This Row],[Zrodla_wiatrowe]]+energia[[#This Row],[Zrodla_fotowoltaiczne]])</f>
        <v>3130.2629999999999</v>
      </c>
      <c r="I2" s="6">
        <f>L1+energia[[#This Row],[Łączna produkcja]]-energia[[#This Row],[Zapotrzebowanie]]</f>
        <v>181341.69899999999</v>
      </c>
      <c r="J2" t="b">
        <f>IF(energia[[#This Row],[Magazyn]]&lt;0,TRUE,FALSE)</f>
        <v>0</v>
      </c>
      <c r="K2" t="s">
        <v>25</v>
      </c>
      <c r="L2">
        <f>COUNTIF(J:J,TRUE)</f>
        <v>0</v>
      </c>
      <c r="R2" s="3">
        <v>45412</v>
      </c>
      <c r="S2" s="4">
        <v>81103.619000000006</v>
      </c>
      <c r="T2" s="4">
        <v>87545.206000000006</v>
      </c>
      <c r="V2" t="s">
        <v>8</v>
      </c>
      <c r="W2" s="3">
        <v>45384</v>
      </c>
    </row>
    <row r="3" spans="1:23" x14ac:dyDescent="0.3">
      <c r="A3" s="1">
        <v>45383</v>
      </c>
      <c r="B3">
        <v>2</v>
      </c>
      <c r="C3">
        <v>2765.5880000000002</v>
      </c>
      <c r="D3">
        <v>0</v>
      </c>
      <c r="E3" t="b">
        <f>IF(energia[[#This Row],[Zrodla_wiatrowe]]&gt;C2,TRUE,FALSE)</f>
        <v>0</v>
      </c>
      <c r="F3">
        <f>IF(energia[[#This Row],[Czy wiatr rosło]],F2+1,1)</f>
        <v>1</v>
      </c>
      <c r="G3">
        <v>1307.0930000000001</v>
      </c>
      <c r="H3" s="6">
        <f>(energia[[#This Row],[Zrodla_wiatrowe]]+energia[[#This Row],[Zrodla_fotowoltaiczne]])</f>
        <v>2765.5880000000002</v>
      </c>
      <c r="I3" s="6">
        <f>I2+energia[[#This Row],[Łączna produkcja]]-energia[[#This Row],[Zapotrzebowanie]]</f>
        <v>182800.19399999999</v>
      </c>
      <c r="J3" t="b">
        <f>IF(energia[[#This Row],[Magazyn]]&lt;0,TRUE,FALSE)</f>
        <v>0</v>
      </c>
      <c r="M3" s="2" t="s">
        <v>11</v>
      </c>
      <c r="N3" t="s">
        <v>10</v>
      </c>
      <c r="R3" s="3">
        <v>45411</v>
      </c>
      <c r="S3" s="4">
        <v>65139.60500000001</v>
      </c>
      <c r="T3" s="4">
        <v>82699.78</v>
      </c>
      <c r="V3" t="s">
        <v>9</v>
      </c>
      <c r="W3" s="3">
        <v>45412</v>
      </c>
    </row>
    <row r="4" spans="1:23" x14ac:dyDescent="0.3">
      <c r="A4" s="1">
        <v>45383</v>
      </c>
      <c r="B4">
        <v>3</v>
      </c>
      <c r="C4">
        <v>2555.4380000000001</v>
      </c>
      <c r="D4">
        <v>0</v>
      </c>
      <c r="E4" t="b">
        <f>IF(energia[[#This Row],[Zrodla_wiatrowe]]&gt;C3,TRUE,FALSE)</f>
        <v>0</v>
      </c>
      <c r="F4">
        <f>IF(energia[[#This Row],[Czy wiatr rosło]],F3+1,1)</f>
        <v>1</v>
      </c>
      <c r="G4">
        <v>1222.5060000000001</v>
      </c>
      <c r="H4" s="6">
        <f>(energia[[#This Row],[Zrodla_wiatrowe]]+energia[[#This Row],[Zrodla_fotowoltaiczne]])</f>
        <v>2555.4380000000001</v>
      </c>
      <c r="I4" s="6">
        <f>I3+energia[[#This Row],[Łączna produkcja]]-energia[[#This Row],[Zapotrzebowanie]]</f>
        <v>184133.12599999999</v>
      </c>
      <c r="J4" t="b">
        <f>IF(energia[[#This Row],[Magazyn]]&lt;0,TRUE,FALSE)</f>
        <v>0</v>
      </c>
      <c r="M4" s="5">
        <v>1</v>
      </c>
      <c r="N4" s="6">
        <v>0</v>
      </c>
      <c r="R4" s="3">
        <v>45391</v>
      </c>
      <c r="S4" s="4">
        <v>62464.717000000011</v>
      </c>
      <c r="T4" s="4">
        <v>81031.328000000009</v>
      </c>
      <c r="V4" t="s">
        <v>15</v>
      </c>
      <c r="W4">
        <f>MAX(F:F)</f>
        <v>16</v>
      </c>
    </row>
    <row r="5" spans="1:23" x14ac:dyDescent="0.3">
      <c r="A5" s="1">
        <v>45383</v>
      </c>
      <c r="B5">
        <v>4</v>
      </c>
      <c r="C5">
        <v>2675.2379999999998</v>
      </c>
      <c r="D5">
        <v>0</v>
      </c>
      <c r="E5" t="b">
        <f>IF(energia[[#This Row],[Zrodla_wiatrowe]]&gt;C4,TRUE,FALSE)</f>
        <v>1</v>
      </c>
      <c r="F5">
        <f>IF(energia[[#This Row],[Czy wiatr rosło]],F4+1,1)</f>
        <v>2</v>
      </c>
      <c r="G5">
        <v>1225.0119999999999</v>
      </c>
      <c r="H5" s="6">
        <f>(energia[[#This Row],[Zrodla_wiatrowe]]+energia[[#This Row],[Zrodla_fotowoltaiczne]])</f>
        <v>2675.2379999999998</v>
      </c>
      <c r="I5" s="6">
        <f>I4+energia[[#This Row],[Łączna produkcja]]-energia[[#This Row],[Zapotrzebowanie]]</f>
        <v>185583.35200000001</v>
      </c>
      <c r="J5" t="b">
        <f>IF(energia[[#This Row],[Magazyn]]&lt;0,TRUE,FALSE)</f>
        <v>0</v>
      </c>
      <c r="M5" s="5">
        <v>2</v>
      </c>
      <c r="N5" s="6">
        <v>0</v>
      </c>
      <c r="R5" s="3">
        <v>45409</v>
      </c>
      <c r="S5" s="4">
        <v>52760.369000000021</v>
      </c>
      <c r="T5" s="4">
        <v>78939.204000000012</v>
      </c>
      <c r="V5" t="s">
        <v>16</v>
      </c>
      <c r="W5">
        <f>MATCH(W4,F:F,0)</f>
        <v>41</v>
      </c>
    </row>
    <row r="6" spans="1:23" x14ac:dyDescent="0.3">
      <c r="A6" s="1">
        <v>45383</v>
      </c>
      <c r="B6">
        <v>5</v>
      </c>
      <c r="C6">
        <v>2681.1750000000002</v>
      </c>
      <c r="D6">
        <v>0</v>
      </c>
      <c r="E6" t="b">
        <f>IF(energia[[#This Row],[Zrodla_wiatrowe]]&gt;C5,TRUE,FALSE)</f>
        <v>1</v>
      </c>
      <c r="F6">
        <f>IF(energia[[#This Row],[Czy wiatr rosło]],F5+1,1)</f>
        <v>3</v>
      </c>
      <c r="G6">
        <v>1836.463</v>
      </c>
      <c r="H6" s="6">
        <f>(energia[[#This Row],[Zrodla_wiatrowe]]+energia[[#This Row],[Zrodla_fotowoltaiczne]])</f>
        <v>2681.1750000000002</v>
      </c>
      <c r="I6" s="6">
        <f>I5+energia[[#This Row],[Łączna produkcja]]-energia[[#This Row],[Zapotrzebowanie]]</f>
        <v>186428.06400000001</v>
      </c>
      <c r="J6" t="b">
        <f>IF(energia[[#This Row],[Magazyn]]&lt;0,TRUE,FALSE)</f>
        <v>0</v>
      </c>
      <c r="M6" s="5">
        <v>3</v>
      </c>
      <c r="N6" s="6">
        <v>0</v>
      </c>
      <c r="R6" s="3">
        <v>45408</v>
      </c>
      <c r="S6" s="4">
        <v>41127.97800000001</v>
      </c>
      <c r="T6" s="4">
        <v>77890.002999999997</v>
      </c>
      <c r="V6" t="s">
        <v>17</v>
      </c>
      <c r="W6" s="1" cm="1">
        <f t="array" ref="W6">INDEX(A:A,W5)</f>
        <v>45384</v>
      </c>
    </row>
    <row r="7" spans="1:23" x14ac:dyDescent="0.3">
      <c r="A7" s="1">
        <v>45383</v>
      </c>
      <c r="B7">
        <v>6</v>
      </c>
      <c r="C7">
        <v>2367.3249999999998</v>
      </c>
      <c r="D7">
        <v>0.21299999999999999</v>
      </c>
      <c r="E7" t="b">
        <f>IF(energia[[#This Row],[Zrodla_wiatrowe]]&gt;C6,TRUE,FALSE)</f>
        <v>0</v>
      </c>
      <c r="F7">
        <f>IF(energia[[#This Row],[Czy wiatr rosło]],F6+1,1)</f>
        <v>1</v>
      </c>
      <c r="G7">
        <v>3041.2449999999999</v>
      </c>
      <c r="H7" s="6">
        <f>(energia[[#This Row],[Zrodla_wiatrowe]]+energia[[#This Row],[Zrodla_fotowoltaiczne]])</f>
        <v>2367.538</v>
      </c>
      <c r="I7" s="6">
        <f>I6+energia[[#This Row],[Łączna produkcja]]-energia[[#This Row],[Zapotrzebowanie]]</f>
        <v>185754.35700000002</v>
      </c>
      <c r="J7" t="b">
        <f>IF(energia[[#This Row],[Magazyn]]&lt;0,TRUE,FALSE)</f>
        <v>0</v>
      </c>
      <c r="M7" s="5">
        <v>4</v>
      </c>
      <c r="N7" s="6">
        <v>0</v>
      </c>
      <c r="R7" s="3">
        <v>45393</v>
      </c>
      <c r="S7" s="4">
        <v>63056.594999999987</v>
      </c>
      <c r="T7" s="4">
        <v>76640.301999999996</v>
      </c>
      <c r="V7" t="s">
        <v>18</v>
      </c>
      <c r="W7" s="1" cm="1">
        <f t="array" ref="W7">INDEX(A:A,W5-W4+1)</f>
        <v>45384</v>
      </c>
    </row>
    <row r="8" spans="1:23" x14ac:dyDescent="0.3">
      <c r="A8" s="1">
        <v>45383</v>
      </c>
      <c r="B8">
        <v>7</v>
      </c>
      <c r="C8">
        <v>2525.2249999999999</v>
      </c>
      <c r="D8">
        <v>117.075</v>
      </c>
      <c r="E8" t="b">
        <f>IF(energia[[#This Row],[Zrodla_wiatrowe]]&gt;C7,TRUE,FALSE)</f>
        <v>1</v>
      </c>
      <c r="F8">
        <f>IF(energia[[#This Row],[Czy wiatr rosło]],F7+1,1)</f>
        <v>2</v>
      </c>
      <c r="G8">
        <v>4142.8909999999996</v>
      </c>
      <c r="H8" s="6">
        <f>(energia[[#This Row],[Zrodla_wiatrowe]]+energia[[#This Row],[Zrodla_fotowoltaiczne]])</f>
        <v>2642.2999999999997</v>
      </c>
      <c r="I8" s="6">
        <f>I7+energia[[#This Row],[Łączna produkcja]]-energia[[#This Row],[Zapotrzebowanie]]</f>
        <v>184253.766</v>
      </c>
      <c r="J8" t="b">
        <f>IF(energia[[#This Row],[Magazyn]]&lt;0,TRUE,FALSE)</f>
        <v>0</v>
      </c>
      <c r="M8" s="5">
        <v>5</v>
      </c>
      <c r="N8" s="6">
        <v>2.7933333333333331E-2</v>
      </c>
      <c r="R8" s="3">
        <v>45395</v>
      </c>
      <c r="S8" s="4">
        <v>83736.957000000009</v>
      </c>
      <c r="T8" s="4">
        <v>69997.228999999992</v>
      </c>
      <c r="V8" t="s">
        <v>19</v>
      </c>
      <c r="W8" cm="1">
        <f t="array" ref="W8">INDEX(B:B,W5)</f>
        <v>16</v>
      </c>
    </row>
    <row r="9" spans="1:23" x14ac:dyDescent="0.3">
      <c r="A9" s="1">
        <v>45383</v>
      </c>
      <c r="B9">
        <v>8</v>
      </c>
      <c r="C9">
        <v>2360.9879999999998</v>
      </c>
      <c r="D9">
        <v>1162.075</v>
      </c>
      <c r="E9" t="b">
        <f>IF(energia[[#This Row],[Zrodla_wiatrowe]]&gt;C8,TRUE,FALSE)</f>
        <v>0</v>
      </c>
      <c r="F9">
        <f>IF(energia[[#This Row],[Czy wiatr rosło]],F8+1,1)</f>
        <v>1</v>
      </c>
      <c r="G9">
        <v>6127.9530000000004</v>
      </c>
      <c r="H9" s="6">
        <f>(energia[[#This Row],[Zrodla_wiatrowe]]+energia[[#This Row],[Zrodla_fotowoltaiczne]])</f>
        <v>3523.0630000000001</v>
      </c>
      <c r="I9" s="6">
        <f>I8+energia[[#This Row],[Łączna produkcja]]-energia[[#This Row],[Zapotrzebowanie]]</f>
        <v>181648.87599999999</v>
      </c>
      <c r="J9" t="b">
        <f>IF(energia[[#This Row],[Magazyn]]&lt;0,TRUE,FALSE)</f>
        <v>0</v>
      </c>
      <c r="M9" s="5">
        <v>6</v>
      </c>
      <c r="N9" s="6">
        <v>64.670633333333342</v>
      </c>
      <c r="R9" s="3">
        <v>45390</v>
      </c>
      <c r="S9" s="4">
        <v>53670.856</v>
      </c>
      <c r="T9" s="4">
        <v>68590.453000000009</v>
      </c>
      <c r="V9" t="s">
        <v>20</v>
      </c>
      <c r="W9" cm="1">
        <f t="array" ref="W9">INDEX(B:B,W5-W4+1)</f>
        <v>1</v>
      </c>
    </row>
    <row r="10" spans="1:23" x14ac:dyDescent="0.3">
      <c r="A10" s="1">
        <v>45383</v>
      </c>
      <c r="B10">
        <v>9</v>
      </c>
      <c r="C10">
        <v>1940.838</v>
      </c>
      <c r="D10">
        <v>2680.5129999999999</v>
      </c>
      <c r="E10" t="b">
        <f>IF(energia[[#This Row],[Zrodla_wiatrowe]]&gt;C9,TRUE,FALSE)</f>
        <v>0</v>
      </c>
      <c r="F10">
        <f>IF(energia[[#This Row],[Czy wiatr rosło]],F9+1,1)</f>
        <v>1</v>
      </c>
      <c r="G10">
        <v>6863.3029999999999</v>
      </c>
      <c r="H10" s="6">
        <f>(energia[[#This Row],[Zrodla_wiatrowe]]+energia[[#This Row],[Zrodla_fotowoltaiczne]])</f>
        <v>4621.3509999999997</v>
      </c>
      <c r="I10" s="6">
        <f>I9+energia[[#This Row],[Łączna produkcja]]-energia[[#This Row],[Zapotrzebowanie]]</f>
        <v>179406.924</v>
      </c>
      <c r="J10" t="b">
        <f>IF(energia[[#This Row],[Magazyn]]&lt;0,TRUE,FALSE)</f>
        <v>0</v>
      </c>
      <c r="M10" s="5">
        <v>7</v>
      </c>
      <c r="N10" s="6">
        <v>491.30063333333328</v>
      </c>
      <c r="R10" s="3">
        <v>45388</v>
      </c>
      <c r="S10" s="4">
        <v>80749.882000000027</v>
      </c>
      <c r="T10" s="4">
        <v>64119.53</v>
      </c>
    </row>
    <row r="11" spans="1:23" x14ac:dyDescent="0.3">
      <c r="A11" s="1">
        <v>45383</v>
      </c>
      <c r="B11">
        <v>10</v>
      </c>
      <c r="C11">
        <v>1368.675</v>
      </c>
      <c r="D11">
        <v>4416</v>
      </c>
      <c r="E11" t="b">
        <f>IF(energia[[#This Row],[Zrodla_wiatrowe]]&gt;C10,TRUE,FALSE)</f>
        <v>0</v>
      </c>
      <c r="F11">
        <f>IF(energia[[#This Row],[Czy wiatr rosło]],F10+1,1)</f>
        <v>1</v>
      </c>
      <c r="G11">
        <v>7660.2650000000003</v>
      </c>
      <c r="H11" s="6">
        <f>(energia[[#This Row],[Zrodla_wiatrowe]]+energia[[#This Row],[Zrodla_fotowoltaiczne]])</f>
        <v>5784.6750000000002</v>
      </c>
      <c r="I11" s="6">
        <f>I10+energia[[#This Row],[Łączna produkcja]]-energia[[#This Row],[Zapotrzebowanie]]</f>
        <v>177531.33399999997</v>
      </c>
      <c r="J11" t="b">
        <f>IF(energia[[#This Row],[Magazyn]]&lt;0,TRUE,FALSE)</f>
        <v>0</v>
      </c>
      <c r="M11" s="5">
        <v>8</v>
      </c>
      <c r="N11" s="6">
        <v>1723.6281333333332</v>
      </c>
      <c r="R11" s="3">
        <v>45405</v>
      </c>
      <c r="S11" s="4">
        <v>17104.105</v>
      </c>
      <c r="T11" s="4">
        <v>64039.58</v>
      </c>
    </row>
    <row r="12" spans="1:23" x14ac:dyDescent="0.3">
      <c r="A12" s="1">
        <v>45383</v>
      </c>
      <c r="B12">
        <v>11</v>
      </c>
      <c r="C12">
        <v>1140.463</v>
      </c>
      <c r="D12">
        <v>5331.5749999999998</v>
      </c>
      <c r="E12" t="b">
        <f>IF(energia[[#This Row],[Zrodla_wiatrowe]]&gt;C11,TRUE,FALSE)</f>
        <v>0</v>
      </c>
      <c r="F12">
        <f>IF(energia[[#This Row],[Czy wiatr rosło]],F11+1,1)</f>
        <v>1</v>
      </c>
      <c r="G12">
        <v>7638.7420000000002</v>
      </c>
      <c r="H12" s="6">
        <f>(energia[[#This Row],[Zrodla_wiatrowe]]+energia[[#This Row],[Zrodla_fotowoltaiczne]])</f>
        <v>6472.0379999999996</v>
      </c>
      <c r="I12" s="6">
        <f>I11+energia[[#This Row],[Łączna produkcja]]-energia[[#This Row],[Zapotrzebowanie]]</f>
        <v>176364.62999999998</v>
      </c>
      <c r="J12" t="b">
        <f>IF(energia[[#This Row],[Magazyn]]&lt;0,TRUE,FALSE)</f>
        <v>0</v>
      </c>
      <c r="M12" s="5">
        <v>9</v>
      </c>
      <c r="N12" s="6">
        <v>3492.9265333333333</v>
      </c>
      <c r="R12" s="3">
        <v>45407</v>
      </c>
      <c r="S12" s="4">
        <v>22276.717999999993</v>
      </c>
      <c r="T12" s="4">
        <v>63607.556000000004</v>
      </c>
    </row>
    <row r="13" spans="1:23" x14ac:dyDescent="0.3">
      <c r="A13" s="1">
        <v>45383</v>
      </c>
      <c r="B13">
        <v>12</v>
      </c>
      <c r="C13">
        <v>1305.8630000000001</v>
      </c>
      <c r="D13">
        <v>5812.2250000000004</v>
      </c>
      <c r="E13" t="b">
        <f>IF(energia[[#This Row],[Zrodla_wiatrowe]]&gt;C12,TRUE,FALSE)</f>
        <v>1</v>
      </c>
      <c r="F13">
        <f>IF(energia[[#This Row],[Czy wiatr rosło]],F12+1,1)</f>
        <v>2</v>
      </c>
      <c r="G13">
        <v>7765.6850000000004</v>
      </c>
      <c r="H13" s="6">
        <f>(energia[[#This Row],[Zrodla_wiatrowe]]+energia[[#This Row],[Zrodla_fotowoltaiczne]])</f>
        <v>7118.0880000000006</v>
      </c>
      <c r="I13" s="6">
        <f>I12+energia[[#This Row],[Łączna produkcja]]-energia[[#This Row],[Zapotrzebowanie]]</f>
        <v>175717.03299999997</v>
      </c>
      <c r="J13" t="b">
        <f>IF(energia[[#This Row],[Magazyn]]&lt;0,TRUE,FALSE)</f>
        <v>0</v>
      </c>
      <c r="M13" s="5">
        <v>10</v>
      </c>
      <c r="N13" s="6">
        <v>5164.2290666666668</v>
      </c>
      <c r="R13" s="3">
        <v>45389</v>
      </c>
      <c r="S13" s="4">
        <v>75137.992999999988</v>
      </c>
      <c r="T13" s="4">
        <v>63460.528000000006</v>
      </c>
    </row>
    <row r="14" spans="1:23" x14ac:dyDescent="0.3">
      <c r="A14" s="1">
        <v>45383</v>
      </c>
      <c r="B14">
        <v>13</v>
      </c>
      <c r="C14">
        <v>1511.4880000000001</v>
      </c>
      <c r="D14">
        <v>5846.6130000000003</v>
      </c>
      <c r="E14" t="b">
        <f>IF(energia[[#This Row],[Zrodla_wiatrowe]]&gt;C13,TRUE,FALSE)</f>
        <v>1</v>
      </c>
      <c r="F14">
        <f>IF(energia[[#This Row],[Czy wiatr rosło]],F13+1,1)</f>
        <v>3</v>
      </c>
      <c r="G14">
        <v>8090.241</v>
      </c>
      <c r="H14" s="6">
        <f>(energia[[#This Row],[Zrodla_wiatrowe]]+energia[[#This Row],[Zrodla_fotowoltaiczne]])</f>
        <v>7358.1010000000006</v>
      </c>
      <c r="I14" s="6">
        <f>I13+energia[[#This Row],[Łączna produkcja]]-energia[[#This Row],[Zapotrzebowanie]]</f>
        <v>174984.89299999995</v>
      </c>
      <c r="J14" t="b">
        <f>IF(energia[[#This Row],[Magazyn]]&lt;0,TRUE,FALSE)</f>
        <v>0</v>
      </c>
      <c r="M14" s="5">
        <v>11</v>
      </c>
      <c r="N14" s="6">
        <v>6246.1545000000006</v>
      </c>
      <c r="R14" s="3">
        <v>45410</v>
      </c>
      <c r="S14" s="4">
        <v>95843.907999999996</v>
      </c>
      <c r="T14" s="4">
        <v>62865.878000000004</v>
      </c>
    </row>
    <row r="15" spans="1:23" x14ac:dyDescent="0.3">
      <c r="A15" s="1">
        <v>45383</v>
      </c>
      <c r="B15">
        <v>14</v>
      </c>
      <c r="C15">
        <v>1931.05</v>
      </c>
      <c r="D15">
        <v>5471.4250000000002</v>
      </c>
      <c r="E15" t="b">
        <f>IF(energia[[#This Row],[Zrodla_wiatrowe]]&gt;C14,TRUE,FALSE)</f>
        <v>1</v>
      </c>
      <c r="F15">
        <f>IF(energia[[#This Row],[Czy wiatr rosło]],F14+1,1)</f>
        <v>4</v>
      </c>
      <c r="G15">
        <v>7643.1679999999997</v>
      </c>
      <c r="H15" s="6">
        <f>(energia[[#This Row],[Zrodla_wiatrowe]]+energia[[#This Row],[Zrodla_fotowoltaiczne]])</f>
        <v>7402.4750000000004</v>
      </c>
      <c r="I15" s="6">
        <f>I14+energia[[#This Row],[Łączna produkcja]]-energia[[#This Row],[Zapotrzebowanie]]</f>
        <v>174744.19999999995</v>
      </c>
      <c r="J15" t="b">
        <f>IF(energia[[#This Row],[Magazyn]]&lt;0,TRUE,FALSE)</f>
        <v>0</v>
      </c>
      <c r="M15" s="5">
        <v>12</v>
      </c>
      <c r="N15" s="6">
        <v>6623.0248333333329</v>
      </c>
      <c r="R15" s="3">
        <v>45394</v>
      </c>
      <c r="S15" s="4">
        <v>60647.780999999995</v>
      </c>
      <c r="T15" s="4">
        <v>58404.805</v>
      </c>
    </row>
    <row r="16" spans="1:23" x14ac:dyDescent="0.3">
      <c r="A16" s="1">
        <v>45383</v>
      </c>
      <c r="B16">
        <v>15</v>
      </c>
      <c r="C16">
        <v>2229.25</v>
      </c>
      <c r="D16">
        <v>5661.8249999999998</v>
      </c>
      <c r="E16" t="b">
        <f>IF(energia[[#This Row],[Zrodla_wiatrowe]]&gt;C15,TRUE,FALSE)</f>
        <v>1</v>
      </c>
      <c r="F16">
        <f>IF(energia[[#This Row],[Czy wiatr rosło]],F15+1,1)</f>
        <v>5</v>
      </c>
      <c r="G16">
        <v>7879.3509999999997</v>
      </c>
      <c r="H16" s="6">
        <f>(energia[[#This Row],[Zrodla_wiatrowe]]+energia[[#This Row],[Zrodla_fotowoltaiczne]])</f>
        <v>7891.0749999999998</v>
      </c>
      <c r="I16" s="6">
        <f>I15+energia[[#This Row],[Łączna produkcja]]-energia[[#This Row],[Zapotrzebowanie]]</f>
        <v>174755.92399999997</v>
      </c>
      <c r="J16" t="b">
        <f>IF(energia[[#This Row],[Magazyn]]&lt;0,TRUE,FALSE)</f>
        <v>0</v>
      </c>
      <c r="M16" s="5">
        <v>13</v>
      </c>
      <c r="N16" s="6">
        <v>6658.3849000000009</v>
      </c>
      <c r="R16" s="3">
        <v>45401</v>
      </c>
      <c r="S16" s="4">
        <v>46984.594000000005</v>
      </c>
      <c r="T16" s="4">
        <v>58144.68</v>
      </c>
    </row>
    <row r="17" spans="1:20" x14ac:dyDescent="0.3">
      <c r="A17" s="1">
        <v>45383</v>
      </c>
      <c r="B17">
        <v>16</v>
      </c>
      <c r="C17">
        <v>2467.125</v>
      </c>
      <c r="D17">
        <v>5067.9880000000003</v>
      </c>
      <c r="E17" t="b">
        <f>IF(energia[[#This Row],[Zrodla_wiatrowe]]&gt;C16,TRUE,FALSE)</f>
        <v>1</v>
      </c>
      <c r="F17">
        <f>IF(energia[[#This Row],[Czy wiatr rosło]],F16+1,1)</f>
        <v>6</v>
      </c>
      <c r="G17">
        <v>7935.4759999999997</v>
      </c>
      <c r="H17" s="6">
        <f>(energia[[#This Row],[Zrodla_wiatrowe]]+energia[[#This Row],[Zrodla_fotowoltaiczne]])</f>
        <v>7535.1130000000003</v>
      </c>
      <c r="I17" s="6">
        <f>I16+energia[[#This Row],[Łączna produkcja]]-energia[[#This Row],[Zapotrzebowanie]]</f>
        <v>174355.56099999999</v>
      </c>
      <c r="J17" t="b">
        <f>IF(energia[[#This Row],[Magazyn]]&lt;0,TRUE,FALSE)</f>
        <v>0</v>
      </c>
      <c r="M17" s="5">
        <v>14</v>
      </c>
      <c r="N17" s="6">
        <v>6489.5148000000008</v>
      </c>
      <c r="R17" s="3">
        <v>45400</v>
      </c>
      <c r="S17" s="4">
        <v>36235.971000000005</v>
      </c>
      <c r="T17" s="4">
        <v>55920.880000000005</v>
      </c>
    </row>
    <row r="18" spans="1:20" x14ac:dyDescent="0.3">
      <c r="A18" s="1">
        <v>45383</v>
      </c>
      <c r="B18">
        <v>17</v>
      </c>
      <c r="C18">
        <v>2655.85</v>
      </c>
      <c r="D18">
        <v>3458.1379999999999</v>
      </c>
      <c r="E18" t="b">
        <f>IF(energia[[#This Row],[Zrodla_wiatrowe]]&gt;C17,TRUE,FALSE)</f>
        <v>1</v>
      </c>
      <c r="F18">
        <f>IF(energia[[#This Row],[Czy wiatr rosło]],F17+1,1)</f>
        <v>7</v>
      </c>
      <c r="G18">
        <v>7657.3360000000002</v>
      </c>
      <c r="H18" s="6">
        <f>(energia[[#This Row],[Zrodla_wiatrowe]]+energia[[#This Row],[Zrodla_fotowoltaiczne]])</f>
        <v>6113.9879999999994</v>
      </c>
      <c r="I18" s="6">
        <f>I17+energia[[#This Row],[Łączna produkcja]]-energia[[#This Row],[Zapotrzebowanie]]</f>
        <v>172812.21299999999</v>
      </c>
      <c r="J18" t="b">
        <f>IF(energia[[#This Row],[Magazyn]]&lt;0,TRUE,FALSE)</f>
        <v>0</v>
      </c>
      <c r="M18" s="5">
        <v>15</v>
      </c>
      <c r="N18" s="6">
        <v>6099.1731000000009</v>
      </c>
      <c r="R18" s="3">
        <v>45387</v>
      </c>
      <c r="S18" s="4">
        <v>101942.906</v>
      </c>
      <c r="T18" s="4">
        <v>52621.178</v>
      </c>
    </row>
    <row r="19" spans="1:20" x14ac:dyDescent="0.3">
      <c r="A19" s="1">
        <v>45383</v>
      </c>
      <c r="B19">
        <v>18</v>
      </c>
      <c r="C19">
        <v>2572.7629999999999</v>
      </c>
      <c r="D19">
        <v>1719.088</v>
      </c>
      <c r="E19" t="b">
        <f>IF(energia[[#This Row],[Zrodla_wiatrowe]]&gt;C18,TRUE,FALSE)</f>
        <v>0</v>
      </c>
      <c r="F19">
        <f>IF(energia[[#This Row],[Czy wiatr rosło]],F18+1,1)</f>
        <v>1</v>
      </c>
      <c r="G19">
        <v>7030.7560000000003</v>
      </c>
      <c r="H19" s="6">
        <f>(energia[[#This Row],[Zrodla_wiatrowe]]+energia[[#This Row],[Zrodla_fotowoltaiczne]])</f>
        <v>4291.8509999999997</v>
      </c>
      <c r="I19" s="6">
        <f>I18+energia[[#This Row],[Łączna produkcja]]-energia[[#This Row],[Zapotrzebowanie]]</f>
        <v>170073.30799999999</v>
      </c>
      <c r="J19" t="b">
        <f>IF(energia[[#This Row],[Magazyn]]&lt;0,TRUE,FALSE)</f>
        <v>0</v>
      </c>
      <c r="M19" s="5">
        <v>16</v>
      </c>
      <c r="N19" s="6">
        <v>5410.7428000000009</v>
      </c>
      <c r="R19" s="3">
        <v>45396</v>
      </c>
      <c r="S19" s="4">
        <v>140107.894</v>
      </c>
      <c r="T19" s="4">
        <v>51141.303</v>
      </c>
    </row>
    <row r="20" spans="1:20" x14ac:dyDescent="0.3">
      <c r="A20" s="1">
        <v>45383</v>
      </c>
      <c r="B20">
        <v>19</v>
      </c>
      <c r="C20">
        <v>2891.1750000000002</v>
      </c>
      <c r="D20">
        <v>560.76300000000003</v>
      </c>
      <c r="E20" t="b">
        <f>IF(energia[[#This Row],[Zrodla_wiatrowe]]&gt;C19,TRUE,FALSE)</f>
        <v>1</v>
      </c>
      <c r="F20">
        <f>IF(energia[[#This Row],[Czy wiatr rosło]],F19+1,1)</f>
        <v>2</v>
      </c>
      <c r="G20">
        <v>6282.9539999999997</v>
      </c>
      <c r="H20" s="6">
        <f>(energia[[#This Row],[Zrodla_wiatrowe]]+energia[[#This Row],[Zrodla_fotowoltaiczne]])</f>
        <v>3451.9380000000001</v>
      </c>
      <c r="I20" s="6">
        <f>I19+energia[[#This Row],[Łączna produkcja]]-energia[[#This Row],[Zapotrzebowanie]]</f>
        <v>167242.29199999999</v>
      </c>
      <c r="J20" t="b">
        <f>IF(energia[[#This Row],[Magazyn]]&lt;0,TRUE,FALSE)</f>
        <v>0</v>
      </c>
      <c r="M20" s="5">
        <v>17</v>
      </c>
      <c r="N20" s="6">
        <v>4338.6940000000004</v>
      </c>
      <c r="R20" s="3">
        <v>45397</v>
      </c>
      <c r="S20" s="4">
        <v>39719.231000000007</v>
      </c>
      <c r="T20" s="4">
        <v>48222.855000000003</v>
      </c>
    </row>
    <row r="21" spans="1:20" x14ac:dyDescent="0.3">
      <c r="A21" s="1">
        <v>45383</v>
      </c>
      <c r="B21">
        <v>20</v>
      </c>
      <c r="C21">
        <v>3515.2</v>
      </c>
      <c r="D21">
        <v>51.438000000000002</v>
      </c>
      <c r="E21" t="b">
        <f>IF(energia[[#This Row],[Zrodla_wiatrowe]]&gt;C20,TRUE,FALSE)</f>
        <v>1</v>
      </c>
      <c r="F21">
        <f>IF(energia[[#This Row],[Czy wiatr rosło]],F20+1,1)</f>
        <v>3</v>
      </c>
      <c r="G21">
        <v>6112.8559999999998</v>
      </c>
      <c r="H21" s="6">
        <f>(energia[[#This Row],[Zrodla_wiatrowe]]+energia[[#This Row],[Zrodla_fotowoltaiczne]])</f>
        <v>3566.6379999999999</v>
      </c>
      <c r="I21" s="6">
        <f>I20+energia[[#This Row],[Łączna produkcja]]-energia[[#This Row],[Zapotrzebowanie]]</f>
        <v>164696.07399999999</v>
      </c>
      <c r="J21" t="b">
        <f>IF(energia[[#This Row],[Magazyn]]&lt;0,TRUE,FALSE)</f>
        <v>0</v>
      </c>
      <c r="M21" s="5">
        <v>18</v>
      </c>
      <c r="N21" s="6">
        <v>2796.1616000000004</v>
      </c>
      <c r="R21" s="3">
        <v>45383</v>
      </c>
      <c r="S21" s="4">
        <v>62936.167999999998</v>
      </c>
      <c r="T21" s="4">
        <v>47356.953999999998</v>
      </c>
    </row>
    <row r="22" spans="1:20" x14ac:dyDescent="0.3">
      <c r="A22" s="1">
        <v>45383</v>
      </c>
      <c r="B22">
        <v>21</v>
      </c>
      <c r="C22">
        <v>3941.538</v>
      </c>
      <c r="D22">
        <v>0</v>
      </c>
      <c r="E22" t="b">
        <f>IF(energia[[#This Row],[Zrodla_wiatrowe]]&gt;C21,TRUE,FALSE)</f>
        <v>1</v>
      </c>
      <c r="F22">
        <f>IF(energia[[#This Row],[Czy wiatr rosło]],F21+1,1)</f>
        <v>4</v>
      </c>
      <c r="G22">
        <v>4749.8130000000001</v>
      </c>
      <c r="H22" s="6">
        <f>(energia[[#This Row],[Zrodla_wiatrowe]]+energia[[#This Row],[Zrodla_fotowoltaiczne]])</f>
        <v>3941.538</v>
      </c>
      <c r="I22" s="6">
        <f>I21+energia[[#This Row],[Łączna produkcja]]-energia[[#This Row],[Zapotrzebowanie]]</f>
        <v>163887.799</v>
      </c>
      <c r="J22" t="b">
        <f>IF(energia[[#This Row],[Magazyn]]&lt;0,TRUE,FALSE)</f>
        <v>0</v>
      </c>
      <c r="M22" s="5">
        <v>19</v>
      </c>
      <c r="N22" s="6">
        <v>1240.4914333333334</v>
      </c>
      <c r="R22" s="3">
        <v>45406</v>
      </c>
      <c r="S22" s="4">
        <v>26005.644</v>
      </c>
      <c r="T22" s="4">
        <v>46157.329000000005</v>
      </c>
    </row>
    <row r="23" spans="1:20" x14ac:dyDescent="0.3">
      <c r="A23" s="1">
        <v>45383</v>
      </c>
      <c r="B23">
        <v>22</v>
      </c>
      <c r="C23">
        <v>4127.375</v>
      </c>
      <c r="D23">
        <v>0</v>
      </c>
      <c r="E23" t="b">
        <f>IF(energia[[#This Row],[Zrodla_wiatrowe]]&gt;C22,TRUE,FALSE)</f>
        <v>1</v>
      </c>
      <c r="F23">
        <f>IF(energia[[#This Row],[Czy wiatr rosło]],F22+1,1)</f>
        <v>5</v>
      </c>
      <c r="G23">
        <v>4584.6559999999999</v>
      </c>
      <c r="H23" s="6">
        <f>(energia[[#This Row],[Zrodla_wiatrowe]]+energia[[#This Row],[Zrodla_fotowoltaiczne]])</f>
        <v>4127.375</v>
      </c>
      <c r="I23" s="6">
        <f>I22+energia[[#This Row],[Łączna produkcja]]-energia[[#This Row],[Zapotrzebowanie]]</f>
        <v>163430.51800000001</v>
      </c>
      <c r="J23" t="b">
        <f>IF(energia[[#This Row],[Magazyn]]&lt;0,TRUE,FALSE)</f>
        <v>0</v>
      </c>
      <c r="M23" s="5">
        <v>20</v>
      </c>
      <c r="N23" s="6">
        <v>311.0299333333333</v>
      </c>
      <c r="R23" s="3">
        <v>45398</v>
      </c>
      <c r="S23" s="4">
        <v>113565.53100000002</v>
      </c>
      <c r="T23" s="4">
        <v>44861.78</v>
      </c>
    </row>
    <row r="24" spans="1:20" x14ac:dyDescent="0.3">
      <c r="A24" s="1">
        <v>45383</v>
      </c>
      <c r="B24">
        <v>23</v>
      </c>
      <c r="C24">
        <v>4248.55</v>
      </c>
      <c r="D24">
        <v>0</v>
      </c>
      <c r="E24" t="b">
        <f>IF(energia[[#This Row],[Zrodla_wiatrowe]]&gt;C23,TRUE,FALSE)</f>
        <v>1</v>
      </c>
      <c r="F24">
        <f>IF(energia[[#This Row],[Czy wiatr rosło]],F23+1,1)</f>
        <v>6</v>
      </c>
      <c r="G24">
        <v>2840.2550000000001</v>
      </c>
      <c r="H24" s="6">
        <f>(energia[[#This Row],[Zrodla_wiatrowe]]+energia[[#This Row],[Zrodla_fotowoltaiczne]])</f>
        <v>4248.55</v>
      </c>
      <c r="I24" s="6">
        <f>I23+energia[[#This Row],[Łączna produkcja]]-energia[[#This Row],[Zapotrzebowanie]]</f>
        <v>164838.81299999999</v>
      </c>
      <c r="J24" t="b">
        <f>IF(energia[[#This Row],[Magazyn]]&lt;0,TRUE,FALSE)</f>
        <v>0</v>
      </c>
      <c r="M24" s="5">
        <v>21</v>
      </c>
      <c r="N24" s="6">
        <v>15.681766666666666</v>
      </c>
      <c r="R24" s="3">
        <v>45403</v>
      </c>
      <c r="S24" s="4">
        <v>69409.508000000002</v>
      </c>
      <c r="T24" s="4">
        <v>43269.579999999994</v>
      </c>
    </row>
    <row r="25" spans="1:20" x14ac:dyDescent="0.3">
      <c r="A25" s="1">
        <v>45383</v>
      </c>
      <c r="B25">
        <v>24</v>
      </c>
      <c r="C25">
        <v>4027.7249999999999</v>
      </c>
      <c r="D25">
        <v>0</v>
      </c>
      <c r="E25" t="b">
        <f>IF(energia[[#This Row],[Zrodla_wiatrowe]]&gt;C24,TRUE,FALSE)</f>
        <v>0</v>
      </c>
      <c r="F25">
        <f>IF(energia[[#This Row],[Czy wiatr rosło]],F24+1,1)</f>
        <v>1</v>
      </c>
      <c r="G25">
        <v>1667.598</v>
      </c>
      <c r="H25" s="6">
        <f>(energia[[#This Row],[Zrodla_wiatrowe]]+energia[[#This Row],[Zrodla_fotowoltaiczne]])</f>
        <v>4027.7249999999999</v>
      </c>
      <c r="I25" s="6">
        <f>I24+energia[[#This Row],[Łączna produkcja]]-energia[[#This Row],[Zapotrzebowanie]]</f>
        <v>167198.94</v>
      </c>
      <c r="J25" t="b">
        <f>IF(energia[[#This Row],[Magazyn]]&lt;0,TRUE,FALSE)</f>
        <v>0</v>
      </c>
      <c r="M25" s="5">
        <v>22</v>
      </c>
      <c r="N25" s="6">
        <v>0</v>
      </c>
      <c r="R25" s="3">
        <v>45392</v>
      </c>
      <c r="S25" s="4">
        <v>92238.292000000016</v>
      </c>
      <c r="T25" s="4">
        <v>42949.754000000008</v>
      </c>
    </row>
    <row r="26" spans="1:20" x14ac:dyDescent="0.3">
      <c r="A26" s="1">
        <v>45384</v>
      </c>
      <c r="B26">
        <v>1</v>
      </c>
      <c r="C26">
        <v>3346.5749999999998</v>
      </c>
      <c r="D26">
        <v>0</v>
      </c>
      <c r="E26" t="b">
        <f>IF(energia[[#This Row],[Zrodla_wiatrowe]]&gt;C25,TRUE,FALSE)</f>
        <v>0</v>
      </c>
      <c r="F26">
        <f>IF(energia[[#This Row],[Czy wiatr rosło]],F25+1,1)</f>
        <v>1</v>
      </c>
      <c r="G26">
        <v>1509.318</v>
      </c>
      <c r="H26" s="6">
        <f>(energia[[#This Row],[Zrodla_wiatrowe]]+energia[[#This Row],[Zrodla_fotowoltaiczne]])</f>
        <v>3346.5749999999998</v>
      </c>
      <c r="I26" s="6">
        <f>I25+energia[[#This Row],[Łączna produkcja]]-energia[[#This Row],[Zapotrzebowanie]]</f>
        <v>169036.19700000001</v>
      </c>
      <c r="J26" t="b">
        <f>IF(energia[[#This Row],[Magazyn]]&lt;0,TRUE,FALSE)</f>
        <v>0</v>
      </c>
      <c r="M26" s="5">
        <v>23</v>
      </c>
      <c r="N26" s="6">
        <v>0</v>
      </c>
      <c r="R26" s="3">
        <v>45399</v>
      </c>
      <c r="S26" s="4">
        <v>38753.980000000003</v>
      </c>
      <c r="T26" s="4">
        <v>42694.703999999998</v>
      </c>
    </row>
    <row r="27" spans="1:20" x14ac:dyDescent="0.3">
      <c r="A27" s="1">
        <v>45384</v>
      </c>
      <c r="B27">
        <v>2</v>
      </c>
      <c r="C27">
        <v>3446.2379999999998</v>
      </c>
      <c r="D27">
        <v>0</v>
      </c>
      <c r="E27" t="b">
        <f>IF(energia[[#This Row],[Zrodla_wiatrowe]]&gt;C26,TRUE,FALSE)</f>
        <v>1</v>
      </c>
      <c r="F27">
        <f>IF(energia[[#This Row],[Czy wiatr rosło]],F26+1,1)</f>
        <v>2</v>
      </c>
      <c r="G27">
        <v>1294.0219999999999</v>
      </c>
      <c r="H27" s="6">
        <f>(energia[[#This Row],[Zrodla_wiatrowe]]+energia[[#This Row],[Zrodla_fotowoltaiczne]])</f>
        <v>3446.2379999999998</v>
      </c>
      <c r="I27" s="6">
        <f>I26+energia[[#This Row],[Łączna produkcja]]-energia[[#This Row],[Zapotrzebowanie]]</f>
        <v>171188.41300000003</v>
      </c>
      <c r="J27" t="b">
        <f>IF(energia[[#This Row],[Magazyn]]&lt;0,TRUE,FALSE)</f>
        <v>0</v>
      </c>
      <c r="M27" s="5">
        <v>24</v>
      </c>
      <c r="N27" s="6">
        <v>0</v>
      </c>
      <c r="R27" s="3">
        <v>45386</v>
      </c>
      <c r="S27" s="4">
        <v>57683.817999999999</v>
      </c>
      <c r="T27" s="4">
        <v>42068.254000000001</v>
      </c>
    </row>
    <row r="28" spans="1:20" x14ac:dyDescent="0.3">
      <c r="A28" s="1">
        <v>45384</v>
      </c>
      <c r="B28">
        <v>3</v>
      </c>
      <c r="C28">
        <v>4149.3</v>
      </c>
      <c r="D28">
        <v>0</v>
      </c>
      <c r="E28" t="b">
        <f>IF(energia[[#This Row],[Zrodla_wiatrowe]]&gt;C27,TRUE,FALSE)</f>
        <v>1</v>
      </c>
      <c r="F28">
        <f>IF(energia[[#This Row],[Czy wiatr rosło]],F27+1,1)</f>
        <v>3</v>
      </c>
      <c r="G28">
        <v>1210.2809999999999</v>
      </c>
      <c r="H28" s="6">
        <f>(energia[[#This Row],[Zrodla_wiatrowe]]+energia[[#This Row],[Zrodla_fotowoltaiczne]])</f>
        <v>4149.3</v>
      </c>
      <c r="I28" s="6">
        <f>I27+energia[[#This Row],[Łączna produkcja]]-energia[[#This Row],[Zapotrzebowanie]]</f>
        <v>174127.43200000003</v>
      </c>
      <c r="J28" t="b">
        <f>IF(energia[[#This Row],[Magazyn]]&lt;0,TRUE,FALSE)</f>
        <v>0</v>
      </c>
      <c r="M28" s="5" t="s">
        <v>5</v>
      </c>
      <c r="N28" s="6">
        <v>2381.9098583333312</v>
      </c>
      <c r="R28" s="3">
        <v>45385</v>
      </c>
      <c r="S28" s="4">
        <v>104289.60600000001</v>
      </c>
      <c r="T28" s="4">
        <v>41060.303000000007</v>
      </c>
    </row>
    <row r="29" spans="1:20" x14ac:dyDescent="0.3">
      <c r="A29" s="1">
        <v>45384</v>
      </c>
      <c r="B29">
        <v>4</v>
      </c>
      <c r="C29">
        <v>4457.1750000000002</v>
      </c>
      <c r="D29">
        <v>0</v>
      </c>
      <c r="E29" t="b">
        <f>IF(energia[[#This Row],[Zrodla_wiatrowe]]&gt;C28,TRUE,FALSE)</f>
        <v>1</v>
      </c>
      <c r="F29">
        <f>IF(energia[[#This Row],[Czy wiatr rosło]],F28+1,1)</f>
        <v>4</v>
      </c>
      <c r="G29">
        <v>1212.7619999999999</v>
      </c>
      <c r="H29" s="6">
        <f>(energia[[#This Row],[Zrodla_wiatrowe]]+energia[[#This Row],[Zrodla_fotowoltaiczne]])</f>
        <v>4457.1750000000002</v>
      </c>
      <c r="I29" s="6">
        <f>I28+energia[[#This Row],[Łączna produkcja]]-energia[[#This Row],[Zapotrzebowanie]]</f>
        <v>177371.84500000003</v>
      </c>
      <c r="J29" t="b">
        <f>IF(energia[[#This Row],[Magazyn]]&lt;0,TRUE,FALSE)</f>
        <v>0</v>
      </c>
      <c r="R29" s="3">
        <v>45402</v>
      </c>
      <c r="S29" s="4">
        <v>63516.233000000007</v>
      </c>
      <c r="T29" s="4">
        <v>37504.129000000008</v>
      </c>
    </row>
    <row r="30" spans="1:20" x14ac:dyDescent="0.3">
      <c r="A30" s="1">
        <v>45384</v>
      </c>
      <c r="B30">
        <v>5</v>
      </c>
      <c r="C30">
        <v>4588.4380000000001</v>
      </c>
      <c r="D30">
        <v>0</v>
      </c>
      <c r="E30" t="b">
        <f>IF(energia[[#This Row],[Zrodla_wiatrowe]]&gt;C29,TRUE,FALSE)</f>
        <v>1</v>
      </c>
      <c r="F30">
        <f>IF(energia[[#This Row],[Czy wiatr rosło]],F29+1,1)</f>
        <v>5</v>
      </c>
      <c r="G30">
        <v>1818.0989999999999</v>
      </c>
      <c r="H30" s="6">
        <f>(energia[[#This Row],[Zrodla_wiatrowe]]+energia[[#This Row],[Zrodla_fotowoltaiczne]])</f>
        <v>4588.4380000000001</v>
      </c>
      <c r="I30" s="6">
        <f>I29+energia[[#This Row],[Łączna produkcja]]-energia[[#This Row],[Zapotrzebowanie]]</f>
        <v>180142.18400000004</v>
      </c>
      <c r="J30" t="b">
        <f>IF(energia[[#This Row],[Magazyn]]&lt;0,TRUE,FALSE)</f>
        <v>0</v>
      </c>
      <c r="R30" s="3">
        <v>45404</v>
      </c>
      <c r="S30" s="4">
        <v>39961.47</v>
      </c>
      <c r="T30" s="4">
        <v>36963.155000000006</v>
      </c>
    </row>
    <row r="31" spans="1:20" x14ac:dyDescent="0.3">
      <c r="A31" s="1">
        <v>45384</v>
      </c>
      <c r="B31">
        <v>6</v>
      </c>
      <c r="C31">
        <v>4658.5</v>
      </c>
      <c r="D31">
        <v>1.075</v>
      </c>
      <c r="E31" t="b">
        <f>IF(energia[[#This Row],[Zrodla_wiatrowe]]&gt;C30,TRUE,FALSE)</f>
        <v>1</v>
      </c>
      <c r="F31">
        <f>IF(energia[[#This Row],[Czy wiatr rosło]],F30+1,1)</f>
        <v>6</v>
      </c>
      <c r="G31">
        <v>3010.8319999999999</v>
      </c>
      <c r="H31" s="6">
        <f>(energia[[#This Row],[Zrodla_wiatrowe]]+energia[[#This Row],[Zrodla_fotowoltaiczne]])</f>
        <v>4659.5749999999998</v>
      </c>
      <c r="I31" s="6">
        <f>I30+energia[[#This Row],[Łączna produkcja]]-energia[[#This Row],[Zapotrzebowanie]]</f>
        <v>181790.92700000005</v>
      </c>
      <c r="J31" t="b">
        <f>IF(energia[[#This Row],[Magazyn]]&lt;0,TRUE,FALSE)</f>
        <v>0</v>
      </c>
      <c r="R31" s="3">
        <v>45384</v>
      </c>
      <c r="S31" s="4">
        <v>140843.93099999998</v>
      </c>
      <c r="T31" s="4">
        <v>24206.878000000004</v>
      </c>
    </row>
    <row r="32" spans="1:20" x14ac:dyDescent="0.3">
      <c r="A32" s="1">
        <v>45384</v>
      </c>
      <c r="B32">
        <v>7</v>
      </c>
      <c r="C32">
        <v>4732.9750000000004</v>
      </c>
      <c r="D32">
        <v>61.274999999999999</v>
      </c>
      <c r="E32" t="b">
        <f>IF(energia[[#This Row],[Zrodla_wiatrowe]]&gt;C31,TRUE,FALSE)</f>
        <v>1</v>
      </c>
      <c r="F32">
        <f>IF(energia[[#This Row],[Czy wiatr rosło]],F31+1,1)</f>
        <v>7</v>
      </c>
      <c r="G32">
        <v>4101.4620000000004</v>
      </c>
      <c r="H32" s="6">
        <f>(energia[[#This Row],[Zrodla_wiatrowe]]+energia[[#This Row],[Zrodla_fotowoltaiczne]])</f>
        <v>4794.25</v>
      </c>
      <c r="I32" s="6">
        <f>I31+energia[[#This Row],[Łączna produkcja]]-energia[[#This Row],[Zapotrzebowanie]]</f>
        <v>182483.71500000005</v>
      </c>
      <c r="J32" t="b">
        <f>IF(energia[[#This Row],[Magazyn]]&lt;0,TRUE,FALSE)</f>
        <v>0</v>
      </c>
      <c r="R32" s="3" t="s">
        <v>5</v>
      </c>
      <c r="S32" s="4">
        <v>2029015.86</v>
      </c>
      <c r="T32" s="4">
        <v>1714975.0980000002</v>
      </c>
    </row>
    <row r="33" spans="1:10" x14ac:dyDescent="0.3">
      <c r="A33" s="1">
        <v>45384</v>
      </c>
      <c r="B33">
        <v>8</v>
      </c>
      <c r="C33">
        <v>4939.8249999999998</v>
      </c>
      <c r="D33">
        <v>440.625</v>
      </c>
      <c r="E33" t="b">
        <f>IF(energia[[#This Row],[Zrodla_wiatrowe]]&gt;C32,TRUE,FALSE)</f>
        <v>1</v>
      </c>
      <c r="F33">
        <f>IF(energia[[#This Row],[Czy wiatr rosło]],F32+1,1)</f>
        <v>8</v>
      </c>
      <c r="G33">
        <v>5982.2179999999998</v>
      </c>
      <c r="H33" s="6">
        <f>(energia[[#This Row],[Zrodla_wiatrowe]]+energia[[#This Row],[Zrodla_fotowoltaiczne]])</f>
        <v>5380.45</v>
      </c>
      <c r="I33" s="6">
        <f>I32+energia[[#This Row],[Łączna produkcja]]-energia[[#This Row],[Zapotrzebowanie]]</f>
        <v>181881.94700000007</v>
      </c>
      <c r="J33" t="b">
        <f>IF(energia[[#This Row],[Magazyn]]&lt;0,TRUE,FALSE)</f>
        <v>0</v>
      </c>
    </row>
    <row r="34" spans="1:10" x14ac:dyDescent="0.3">
      <c r="A34" s="1">
        <v>45384</v>
      </c>
      <c r="B34">
        <v>9</v>
      </c>
      <c r="C34">
        <v>5218.9629999999997</v>
      </c>
      <c r="D34">
        <v>1086.2750000000001</v>
      </c>
      <c r="E34" t="b">
        <f>IF(energia[[#This Row],[Zrodla_wiatrowe]]&gt;C33,TRUE,FALSE)</f>
        <v>1</v>
      </c>
      <c r="F34">
        <f>IF(energia[[#This Row],[Czy wiatr rosło]],F33+1,1)</f>
        <v>9</v>
      </c>
      <c r="G34">
        <v>6700.08</v>
      </c>
      <c r="H34" s="6">
        <f>(energia[[#This Row],[Zrodla_wiatrowe]]+energia[[#This Row],[Zrodla_fotowoltaiczne]])</f>
        <v>6305.2379999999994</v>
      </c>
      <c r="I34" s="6">
        <f>I33+energia[[#This Row],[Łączna produkcja]]-energia[[#This Row],[Zapotrzebowanie]]</f>
        <v>181487.1050000001</v>
      </c>
      <c r="J34" t="b">
        <f>IF(energia[[#This Row],[Magazyn]]&lt;0,TRUE,FALSE)</f>
        <v>0</v>
      </c>
    </row>
    <row r="35" spans="1:10" x14ac:dyDescent="0.3">
      <c r="A35" s="1">
        <v>45384</v>
      </c>
      <c r="B35">
        <v>10</v>
      </c>
      <c r="C35">
        <v>5539.7749999999996</v>
      </c>
      <c r="D35">
        <v>1915.2629999999999</v>
      </c>
      <c r="E35" t="b">
        <f>IF(energia[[#This Row],[Zrodla_wiatrowe]]&gt;C34,TRUE,FALSE)</f>
        <v>1</v>
      </c>
      <c r="F35">
        <f>IF(energia[[#This Row],[Czy wiatr rosło]],F34+1,1)</f>
        <v>10</v>
      </c>
      <c r="G35">
        <v>7478.0879999999997</v>
      </c>
      <c r="H35" s="6">
        <f>(energia[[#This Row],[Zrodla_wiatrowe]]+energia[[#This Row],[Zrodla_fotowoltaiczne]])</f>
        <v>7455.0379999999996</v>
      </c>
      <c r="I35" s="6">
        <f>I34+energia[[#This Row],[Łączna produkcja]]-energia[[#This Row],[Zapotrzebowanie]]</f>
        <v>181464.05500000011</v>
      </c>
      <c r="J35" t="b">
        <f>IF(energia[[#This Row],[Magazyn]]&lt;0,TRUE,FALSE)</f>
        <v>0</v>
      </c>
    </row>
    <row r="36" spans="1:10" x14ac:dyDescent="0.3">
      <c r="A36" s="1">
        <v>45384</v>
      </c>
      <c r="B36">
        <v>11</v>
      </c>
      <c r="C36">
        <v>5927.375</v>
      </c>
      <c r="D36">
        <v>2442.2629999999999</v>
      </c>
      <c r="E36" t="b">
        <f>IF(energia[[#This Row],[Zrodla_wiatrowe]]&gt;C35,TRUE,FALSE)</f>
        <v>1</v>
      </c>
      <c r="F36">
        <f>IF(energia[[#This Row],[Czy wiatr rosło]],F35+1,1)</f>
        <v>11</v>
      </c>
      <c r="G36">
        <v>7457.0770000000002</v>
      </c>
      <c r="H36" s="6">
        <f>(energia[[#This Row],[Zrodla_wiatrowe]]+energia[[#This Row],[Zrodla_fotowoltaiczne]])</f>
        <v>8369.637999999999</v>
      </c>
      <c r="I36" s="6">
        <f>I35+energia[[#This Row],[Łączna produkcja]]-energia[[#This Row],[Zapotrzebowanie]]</f>
        <v>182376.61600000013</v>
      </c>
      <c r="J36" t="b">
        <f>IF(energia[[#This Row],[Magazyn]]&lt;0,TRUE,FALSE)</f>
        <v>0</v>
      </c>
    </row>
    <row r="37" spans="1:10" x14ac:dyDescent="0.3">
      <c r="A37" s="1">
        <v>45384</v>
      </c>
      <c r="B37">
        <v>12</v>
      </c>
      <c r="C37">
        <v>6218.0749999999998</v>
      </c>
      <c r="D37">
        <v>2724.6379999999999</v>
      </c>
      <c r="E37" t="b">
        <f>IF(energia[[#This Row],[Zrodla_wiatrowe]]&gt;C36,TRUE,FALSE)</f>
        <v>1</v>
      </c>
      <c r="F37">
        <f>IF(energia[[#This Row],[Czy wiatr rosło]],F36+1,1)</f>
        <v>12</v>
      </c>
      <c r="G37">
        <v>7581.0010000000002</v>
      </c>
      <c r="H37" s="6">
        <f>(energia[[#This Row],[Zrodla_wiatrowe]]+energia[[#This Row],[Zrodla_fotowoltaiczne]])</f>
        <v>8942.7129999999997</v>
      </c>
      <c r="I37" s="6">
        <f>I36+energia[[#This Row],[Łączna produkcja]]-energia[[#This Row],[Zapotrzebowanie]]</f>
        <v>183738.32800000013</v>
      </c>
      <c r="J37" t="b">
        <f>IF(energia[[#This Row],[Magazyn]]&lt;0,TRUE,FALSE)</f>
        <v>0</v>
      </c>
    </row>
    <row r="38" spans="1:10" x14ac:dyDescent="0.3">
      <c r="A38" s="1">
        <v>45384</v>
      </c>
      <c r="B38">
        <v>13</v>
      </c>
      <c r="C38">
        <v>6813.6629999999996</v>
      </c>
      <c r="D38">
        <v>2673.2629999999999</v>
      </c>
      <c r="E38" t="b">
        <f>IF(energia[[#This Row],[Zrodla_wiatrowe]]&gt;C37,TRUE,FALSE)</f>
        <v>1</v>
      </c>
      <c r="F38">
        <f>IF(energia[[#This Row],[Czy wiatr rosło]],F37+1,1)</f>
        <v>13</v>
      </c>
      <c r="G38">
        <v>7897.8389999999999</v>
      </c>
      <c r="H38" s="6">
        <f>(energia[[#This Row],[Zrodla_wiatrowe]]+energia[[#This Row],[Zrodla_fotowoltaiczne]])</f>
        <v>9486.9259999999995</v>
      </c>
      <c r="I38" s="6">
        <f>I37+energia[[#This Row],[Łączna produkcja]]-energia[[#This Row],[Zapotrzebowanie]]</f>
        <v>185327.41500000012</v>
      </c>
      <c r="J38" t="b">
        <f>IF(energia[[#This Row],[Magazyn]]&lt;0,TRUE,FALSE)</f>
        <v>0</v>
      </c>
    </row>
    <row r="39" spans="1:10" x14ac:dyDescent="0.3">
      <c r="A39" s="1">
        <v>45384</v>
      </c>
      <c r="B39">
        <v>14</v>
      </c>
      <c r="C39">
        <v>7025.85</v>
      </c>
      <c r="D39">
        <v>2775.5880000000002</v>
      </c>
      <c r="E39" t="b">
        <f>IF(energia[[#This Row],[Zrodla_wiatrowe]]&gt;C38,TRUE,FALSE)</f>
        <v>1</v>
      </c>
      <c r="F39">
        <f>IF(energia[[#This Row],[Czy wiatr rosło]],F38+1,1)</f>
        <v>14</v>
      </c>
      <c r="G39">
        <v>7461.3980000000001</v>
      </c>
      <c r="H39" s="6">
        <f>(energia[[#This Row],[Zrodla_wiatrowe]]+energia[[#This Row],[Zrodla_fotowoltaiczne]])</f>
        <v>9801.4380000000001</v>
      </c>
      <c r="I39" s="6">
        <f>I38+energia[[#This Row],[Łączna produkcja]]-energia[[#This Row],[Zapotrzebowanie]]</f>
        <v>187667.45500000013</v>
      </c>
      <c r="J39" t="b">
        <f>IF(energia[[#This Row],[Magazyn]]&lt;0,TRUE,FALSE)</f>
        <v>0</v>
      </c>
    </row>
    <row r="40" spans="1:10" x14ac:dyDescent="0.3">
      <c r="A40" s="1">
        <v>45384</v>
      </c>
      <c r="B40">
        <v>15</v>
      </c>
      <c r="C40">
        <v>7180.7629999999999</v>
      </c>
      <c r="D40">
        <v>2810.9380000000001</v>
      </c>
      <c r="E40" t="b">
        <f>IF(energia[[#This Row],[Zrodla_wiatrowe]]&gt;C39,TRUE,FALSE)</f>
        <v>1</v>
      </c>
      <c r="F40">
        <f>IF(energia[[#This Row],[Czy wiatr rosło]],F39+1,1)</f>
        <v>15</v>
      </c>
      <c r="G40">
        <v>7691.9639999999999</v>
      </c>
      <c r="H40" s="6">
        <f>(energia[[#This Row],[Zrodla_wiatrowe]]+energia[[#This Row],[Zrodla_fotowoltaiczne]])</f>
        <v>9991.7010000000009</v>
      </c>
      <c r="I40" s="6">
        <f>I39+energia[[#This Row],[Łączna produkcja]]-energia[[#This Row],[Zapotrzebowanie]]</f>
        <v>189967.19200000013</v>
      </c>
      <c r="J40" t="b">
        <f>IF(energia[[#This Row],[Magazyn]]&lt;0,TRUE,FALSE)</f>
        <v>0</v>
      </c>
    </row>
    <row r="41" spans="1:10" x14ac:dyDescent="0.3">
      <c r="A41" s="1">
        <v>45384</v>
      </c>
      <c r="B41">
        <v>16</v>
      </c>
      <c r="C41">
        <v>7220.4880000000003</v>
      </c>
      <c r="D41">
        <v>2744.5250000000001</v>
      </c>
      <c r="E41" t="b">
        <f>IF(energia[[#This Row],[Zrodla_wiatrowe]]&gt;C40,TRUE,FALSE)</f>
        <v>1</v>
      </c>
      <c r="F41">
        <f>IF(energia[[#This Row],[Czy wiatr rosło]],F40+1,1)</f>
        <v>16</v>
      </c>
      <c r="G41">
        <v>7906.4809999999998</v>
      </c>
      <c r="H41" s="6">
        <f>(energia[[#This Row],[Zrodla_wiatrowe]]+energia[[#This Row],[Zrodla_fotowoltaiczne]])</f>
        <v>9965.0130000000008</v>
      </c>
      <c r="I41" s="6">
        <f>I40+energia[[#This Row],[Łączna produkcja]]-energia[[#This Row],[Zapotrzebowanie]]</f>
        <v>192025.72400000013</v>
      </c>
      <c r="J41" t="b">
        <f>IF(energia[[#This Row],[Magazyn]]&lt;0,TRUE,FALSE)</f>
        <v>0</v>
      </c>
    </row>
    <row r="42" spans="1:10" x14ac:dyDescent="0.3">
      <c r="A42" s="1">
        <v>45384</v>
      </c>
      <c r="B42">
        <v>17</v>
      </c>
      <c r="C42">
        <v>7167.5630000000001</v>
      </c>
      <c r="D42">
        <v>2404.7750000000001</v>
      </c>
      <c r="E42" t="b">
        <f>IF(energia[[#This Row],[Zrodla_wiatrowe]]&gt;C41,TRUE,FALSE)</f>
        <v>0</v>
      </c>
      <c r="F42">
        <f>IF(energia[[#This Row],[Czy wiatr rosło]],F41+1,1)</f>
        <v>1</v>
      </c>
      <c r="G42">
        <v>7629.357</v>
      </c>
      <c r="H42" s="6">
        <f>(energia[[#This Row],[Zrodla_wiatrowe]]+energia[[#This Row],[Zrodla_fotowoltaiczne]])</f>
        <v>9572.3379999999997</v>
      </c>
      <c r="I42" s="6">
        <f>I41+energia[[#This Row],[Łączna produkcja]]-energia[[#This Row],[Zapotrzebowanie]]</f>
        <v>193968.70500000013</v>
      </c>
      <c r="J42" t="b">
        <f>IF(energia[[#This Row],[Magazyn]]&lt;0,TRUE,FALSE)</f>
        <v>0</v>
      </c>
    </row>
    <row r="43" spans="1:10" x14ac:dyDescent="0.3">
      <c r="A43" s="1">
        <v>45384</v>
      </c>
      <c r="B43">
        <v>18</v>
      </c>
      <c r="C43">
        <v>6882.125</v>
      </c>
      <c r="D43">
        <v>1488.125</v>
      </c>
      <c r="E43" t="b">
        <f>IF(energia[[#This Row],[Zrodla_wiatrowe]]&gt;C42,TRUE,FALSE)</f>
        <v>0</v>
      </c>
      <c r="F43">
        <f>IF(energia[[#This Row],[Czy wiatr rosło]],F42+1,1)</f>
        <v>1</v>
      </c>
      <c r="G43">
        <v>7005.0659999999998</v>
      </c>
      <c r="H43" s="6">
        <f>(energia[[#This Row],[Zrodla_wiatrowe]]+energia[[#This Row],[Zrodla_fotowoltaiczne]])</f>
        <v>8370.25</v>
      </c>
      <c r="I43" s="6">
        <f>I42+energia[[#This Row],[Łączna produkcja]]-energia[[#This Row],[Zapotrzebowanie]]</f>
        <v>195333.88900000014</v>
      </c>
      <c r="J43" t="b">
        <f>IF(energia[[#This Row],[Magazyn]]&lt;0,TRUE,FALSE)</f>
        <v>0</v>
      </c>
    </row>
    <row r="44" spans="1:10" x14ac:dyDescent="0.3">
      <c r="A44" s="1">
        <v>45384</v>
      </c>
      <c r="B44">
        <v>19</v>
      </c>
      <c r="C44">
        <v>6806.5630000000001</v>
      </c>
      <c r="D44">
        <v>581.4</v>
      </c>
      <c r="E44" t="b">
        <f>IF(energia[[#This Row],[Zrodla_wiatrowe]]&gt;C43,TRUE,FALSE)</f>
        <v>0</v>
      </c>
      <c r="F44">
        <f>IF(energia[[#This Row],[Czy wiatr rosło]],F43+1,1)</f>
        <v>1</v>
      </c>
      <c r="G44">
        <v>6259.9970000000003</v>
      </c>
      <c r="H44" s="6">
        <f>(energia[[#This Row],[Zrodla_wiatrowe]]+energia[[#This Row],[Zrodla_fotowoltaiczne]])</f>
        <v>7387.9629999999997</v>
      </c>
      <c r="I44" s="6">
        <f>I43+energia[[#This Row],[Łączna produkcja]]-energia[[#This Row],[Zapotrzebowanie]]</f>
        <v>196461.85500000013</v>
      </c>
      <c r="J44" t="b">
        <f>IF(energia[[#This Row],[Magazyn]]&lt;0,TRUE,FALSE)</f>
        <v>0</v>
      </c>
    </row>
    <row r="45" spans="1:10" x14ac:dyDescent="0.3">
      <c r="A45" s="1">
        <v>45384</v>
      </c>
      <c r="B45">
        <v>20</v>
      </c>
      <c r="C45">
        <v>7039.9629999999997</v>
      </c>
      <c r="D45">
        <v>56.85</v>
      </c>
      <c r="E45" t="b">
        <f>IF(energia[[#This Row],[Zrodla_wiatrowe]]&gt;C44,TRUE,FALSE)</f>
        <v>1</v>
      </c>
      <c r="F45">
        <f>IF(energia[[#This Row],[Czy wiatr rosło]],F44+1,1)</f>
        <v>2</v>
      </c>
      <c r="G45">
        <v>6090.5209999999997</v>
      </c>
      <c r="H45" s="6">
        <f>(energia[[#This Row],[Zrodla_wiatrowe]]+energia[[#This Row],[Zrodla_fotowoltaiczne]])</f>
        <v>7096.8130000000001</v>
      </c>
      <c r="I45" s="6">
        <f>I44+energia[[#This Row],[Łączna produkcja]]-energia[[#This Row],[Zapotrzebowanie]]</f>
        <v>197468.14700000011</v>
      </c>
      <c r="J45" t="b">
        <f>IF(energia[[#This Row],[Magazyn]]&lt;0,TRUE,FALSE)</f>
        <v>0</v>
      </c>
    </row>
    <row r="46" spans="1:10" x14ac:dyDescent="0.3">
      <c r="A46" s="1">
        <v>45384</v>
      </c>
      <c r="B46">
        <v>21</v>
      </c>
      <c r="C46">
        <v>7089.2380000000003</v>
      </c>
      <c r="D46">
        <v>0</v>
      </c>
      <c r="E46" t="b">
        <f>IF(energia[[#This Row],[Zrodla_wiatrowe]]&gt;C45,TRUE,FALSE)</f>
        <v>1</v>
      </c>
      <c r="F46">
        <f>IF(energia[[#This Row],[Czy wiatr rosło]],F45+1,1)</f>
        <v>3</v>
      </c>
      <c r="G46">
        <v>4732.4579999999996</v>
      </c>
      <c r="H46" s="6">
        <f>(energia[[#This Row],[Zrodla_wiatrowe]]+energia[[#This Row],[Zrodla_fotowoltaiczne]])</f>
        <v>7089.2380000000003</v>
      </c>
      <c r="I46" s="6">
        <f>I45+energia[[#This Row],[Łączna produkcja]]-energia[[#This Row],[Zapotrzebowanie]]</f>
        <v>199824.92700000011</v>
      </c>
      <c r="J46" t="b">
        <f>IF(energia[[#This Row],[Magazyn]]&lt;0,TRUE,FALSE)</f>
        <v>0</v>
      </c>
    </row>
    <row r="47" spans="1:10" x14ac:dyDescent="0.3">
      <c r="A47" s="1">
        <v>45384</v>
      </c>
      <c r="B47">
        <v>22</v>
      </c>
      <c r="C47">
        <v>6955.6379999999999</v>
      </c>
      <c r="D47">
        <v>0</v>
      </c>
      <c r="E47" t="b">
        <f>IF(energia[[#This Row],[Zrodla_wiatrowe]]&gt;C46,TRUE,FALSE)</f>
        <v>0</v>
      </c>
      <c r="F47">
        <f>IF(energia[[#This Row],[Czy wiatr rosło]],F46+1,1)</f>
        <v>1</v>
      </c>
      <c r="G47">
        <v>4567.9040000000005</v>
      </c>
      <c r="H47" s="6">
        <f>(energia[[#This Row],[Zrodla_wiatrowe]]+energia[[#This Row],[Zrodla_fotowoltaiczne]])</f>
        <v>6955.6379999999999</v>
      </c>
      <c r="I47" s="6">
        <f>I46+energia[[#This Row],[Łączna produkcja]]-energia[[#This Row],[Zapotrzebowanie]]</f>
        <v>202212.66100000011</v>
      </c>
      <c r="J47" t="b">
        <f>IF(energia[[#This Row],[Magazyn]]&lt;0,TRUE,FALSE)</f>
        <v>0</v>
      </c>
    </row>
    <row r="48" spans="1:10" x14ac:dyDescent="0.3">
      <c r="A48" s="1">
        <v>45384</v>
      </c>
      <c r="B48">
        <v>23</v>
      </c>
      <c r="C48">
        <v>6667.7749999999996</v>
      </c>
      <c r="D48">
        <v>0</v>
      </c>
      <c r="E48" t="b">
        <f>IF(energia[[#This Row],[Zrodla_wiatrowe]]&gt;C47,TRUE,FALSE)</f>
        <v>0</v>
      </c>
      <c r="F48">
        <f>IF(energia[[#This Row],[Czy wiatr rosło]],F47+1,1)</f>
        <v>1</v>
      </c>
      <c r="G48">
        <v>2829.877</v>
      </c>
      <c r="H48" s="6">
        <f>(energia[[#This Row],[Zrodla_wiatrowe]]+energia[[#This Row],[Zrodla_fotowoltaiczne]])</f>
        <v>6667.7749999999996</v>
      </c>
      <c r="I48" s="6">
        <f>I47+energia[[#This Row],[Łączna produkcja]]-energia[[#This Row],[Zapotrzebowanie]]</f>
        <v>206050.5590000001</v>
      </c>
      <c r="J48" t="b">
        <f>IF(energia[[#This Row],[Magazyn]]&lt;0,TRUE,FALSE)</f>
        <v>0</v>
      </c>
    </row>
    <row r="49" spans="1:10" x14ac:dyDescent="0.3">
      <c r="A49" s="1">
        <v>45384</v>
      </c>
      <c r="B49">
        <v>24</v>
      </c>
      <c r="C49">
        <v>6771.0879999999997</v>
      </c>
      <c r="D49">
        <v>0</v>
      </c>
      <c r="E49" t="b">
        <f>IF(energia[[#This Row],[Zrodla_wiatrowe]]&gt;C48,TRUE,FALSE)</f>
        <v>1</v>
      </c>
      <c r="F49">
        <f>IF(energia[[#This Row],[Czy wiatr rosło]],F48+1,1)</f>
        <v>2</v>
      </c>
      <c r="G49">
        <v>1661.5050000000001</v>
      </c>
      <c r="H49" s="6">
        <f>(energia[[#This Row],[Zrodla_wiatrowe]]+energia[[#This Row],[Zrodla_fotowoltaiczne]])</f>
        <v>6771.0879999999997</v>
      </c>
      <c r="I49" s="6">
        <f>I48+energia[[#This Row],[Łączna produkcja]]-energia[[#This Row],[Zapotrzebowanie]]</f>
        <v>211160.14200000008</v>
      </c>
      <c r="J49" t="b">
        <f>IF(energia[[#This Row],[Magazyn]]&lt;0,TRUE,FALSE)</f>
        <v>0</v>
      </c>
    </row>
    <row r="50" spans="1:10" x14ac:dyDescent="0.3">
      <c r="A50" s="1">
        <v>45385</v>
      </c>
      <c r="B50">
        <v>1</v>
      </c>
      <c r="C50">
        <v>6683.55</v>
      </c>
      <c r="D50">
        <v>0</v>
      </c>
      <c r="E50" t="b">
        <f>IF(energia[[#This Row],[Zrodla_wiatrowe]]&gt;C49,TRUE,FALSE)</f>
        <v>0</v>
      </c>
      <c r="F50">
        <f>IF(energia[[#This Row],[Czy wiatr rosło]],F49+1,1)</f>
        <v>1</v>
      </c>
      <c r="G50">
        <v>1654.8</v>
      </c>
      <c r="H50" s="6">
        <f>(energia[[#This Row],[Zrodla_wiatrowe]]+energia[[#This Row],[Zrodla_fotowoltaiczne]])</f>
        <v>6683.55</v>
      </c>
      <c r="I50" s="6">
        <f>I49+energia[[#This Row],[Łączna produkcja]]-energia[[#This Row],[Zapotrzebowanie]]</f>
        <v>216188.89200000008</v>
      </c>
      <c r="J50" t="b">
        <f>IF(energia[[#This Row],[Magazyn]]&lt;0,TRUE,FALSE)</f>
        <v>0</v>
      </c>
    </row>
    <row r="51" spans="1:10" x14ac:dyDescent="0.3">
      <c r="A51" s="1">
        <v>45385</v>
      </c>
      <c r="B51">
        <v>2</v>
      </c>
      <c r="C51">
        <v>6485.2250000000004</v>
      </c>
      <c r="D51">
        <v>0</v>
      </c>
      <c r="E51" t="b">
        <f>IF(energia[[#This Row],[Zrodla_wiatrowe]]&gt;C50,TRUE,FALSE)</f>
        <v>0</v>
      </c>
      <c r="F51">
        <f>IF(energia[[#This Row],[Czy wiatr rosło]],F50+1,1)</f>
        <v>1</v>
      </c>
      <c r="G51">
        <v>1447.019</v>
      </c>
      <c r="H51" s="6">
        <f>(energia[[#This Row],[Zrodla_wiatrowe]]+energia[[#This Row],[Zrodla_fotowoltaiczne]])</f>
        <v>6485.2250000000004</v>
      </c>
      <c r="I51" s="6">
        <f>I50+energia[[#This Row],[Łączna produkcja]]-energia[[#This Row],[Zapotrzebowanie]]</f>
        <v>221227.09800000009</v>
      </c>
      <c r="J51" t="b">
        <f>IF(energia[[#This Row],[Magazyn]]&lt;0,TRUE,FALSE)</f>
        <v>0</v>
      </c>
    </row>
    <row r="52" spans="1:10" x14ac:dyDescent="0.3">
      <c r="A52" s="1">
        <v>45385</v>
      </c>
      <c r="B52">
        <v>3</v>
      </c>
      <c r="C52">
        <v>6362.625</v>
      </c>
      <c r="D52">
        <v>0</v>
      </c>
      <c r="E52" t="b">
        <f>IF(energia[[#This Row],[Zrodla_wiatrowe]]&gt;C51,TRUE,FALSE)</f>
        <v>0</v>
      </c>
      <c r="F52">
        <f>IF(energia[[#This Row],[Czy wiatr rosło]],F51+1,1)</f>
        <v>1</v>
      </c>
      <c r="G52">
        <v>1353.377</v>
      </c>
      <c r="H52" s="6">
        <f>(energia[[#This Row],[Zrodla_wiatrowe]]+energia[[#This Row],[Zrodla_fotowoltaiczne]])</f>
        <v>6362.625</v>
      </c>
      <c r="I52" s="6">
        <f>I51+energia[[#This Row],[Łączna produkcja]]-energia[[#This Row],[Zapotrzebowanie]]</f>
        <v>226236.34600000008</v>
      </c>
      <c r="J52" t="b">
        <f>IF(energia[[#This Row],[Magazyn]]&lt;0,TRUE,FALSE)</f>
        <v>0</v>
      </c>
    </row>
    <row r="53" spans="1:10" x14ac:dyDescent="0.3">
      <c r="A53" s="1">
        <v>45385</v>
      </c>
      <c r="B53">
        <v>4</v>
      </c>
      <c r="C53">
        <v>5948.9250000000002</v>
      </c>
      <c r="D53">
        <v>0</v>
      </c>
      <c r="E53" t="b">
        <f>IF(energia[[#This Row],[Zrodla_wiatrowe]]&gt;C52,TRUE,FALSE)</f>
        <v>0</v>
      </c>
      <c r="F53">
        <f>IF(energia[[#This Row],[Czy wiatr rosło]],F52+1,1)</f>
        <v>1</v>
      </c>
      <c r="G53">
        <v>1195.8789999999999</v>
      </c>
      <c r="H53" s="6">
        <f>(energia[[#This Row],[Zrodla_wiatrowe]]+energia[[#This Row],[Zrodla_fotowoltaiczne]])</f>
        <v>5948.9250000000002</v>
      </c>
      <c r="I53" s="6">
        <f>I52+energia[[#This Row],[Łączna produkcja]]-energia[[#This Row],[Zapotrzebowanie]]</f>
        <v>230989.39200000008</v>
      </c>
      <c r="J53" t="b">
        <f>IF(energia[[#This Row],[Magazyn]]&lt;0,TRUE,FALSE)</f>
        <v>0</v>
      </c>
    </row>
    <row r="54" spans="1:10" x14ac:dyDescent="0.3">
      <c r="A54" s="1">
        <v>45385</v>
      </c>
      <c r="B54">
        <v>5</v>
      </c>
      <c r="C54">
        <v>5874.1880000000001</v>
      </c>
      <c r="D54">
        <v>0</v>
      </c>
      <c r="E54" t="b">
        <f>IF(energia[[#This Row],[Zrodla_wiatrowe]]&gt;C53,TRUE,FALSE)</f>
        <v>0</v>
      </c>
      <c r="F54">
        <f>IF(energia[[#This Row],[Czy wiatr rosło]],F53+1,1)</f>
        <v>1</v>
      </c>
      <c r="G54">
        <v>1792.788</v>
      </c>
      <c r="H54" s="6">
        <f>(energia[[#This Row],[Zrodla_wiatrowe]]+energia[[#This Row],[Zrodla_fotowoltaiczne]])</f>
        <v>5874.1880000000001</v>
      </c>
      <c r="I54" s="6">
        <f>I53+energia[[#This Row],[Łączna produkcja]]-energia[[#This Row],[Zapotrzebowanie]]</f>
        <v>235070.79200000007</v>
      </c>
      <c r="J54" t="b">
        <f>IF(energia[[#This Row],[Magazyn]]&lt;0,TRUE,FALSE)</f>
        <v>0</v>
      </c>
    </row>
    <row r="55" spans="1:10" x14ac:dyDescent="0.3">
      <c r="A55" s="1">
        <v>45385</v>
      </c>
      <c r="B55">
        <v>6</v>
      </c>
      <c r="C55">
        <v>5815.1629999999996</v>
      </c>
      <c r="D55">
        <v>0.625</v>
      </c>
      <c r="E55" t="b">
        <f>IF(energia[[#This Row],[Zrodla_wiatrowe]]&gt;C54,TRUE,FALSE)</f>
        <v>0</v>
      </c>
      <c r="F55">
        <f>IF(energia[[#This Row],[Czy wiatr rosło]],F54+1,1)</f>
        <v>1</v>
      </c>
      <c r="G55">
        <v>2968.9180000000001</v>
      </c>
      <c r="H55" s="6">
        <f>(energia[[#This Row],[Zrodla_wiatrowe]]+energia[[#This Row],[Zrodla_fotowoltaiczne]])</f>
        <v>5815.7879999999996</v>
      </c>
      <c r="I55" s="6">
        <f>I54+energia[[#This Row],[Łączna produkcja]]-energia[[#This Row],[Zapotrzebowanie]]</f>
        <v>237917.66200000007</v>
      </c>
      <c r="J55" t="b">
        <f>IF(energia[[#This Row],[Magazyn]]&lt;0,TRUE,FALSE)</f>
        <v>0</v>
      </c>
    </row>
    <row r="56" spans="1:10" x14ac:dyDescent="0.3">
      <c r="A56" s="1">
        <v>45385</v>
      </c>
      <c r="B56">
        <v>7</v>
      </c>
      <c r="C56">
        <v>5951.2879999999996</v>
      </c>
      <c r="D56">
        <v>76.875</v>
      </c>
      <c r="E56" t="b">
        <f>IF(energia[[#This Row],[Zrodla_wiatrowe]]&gt;C55,TRUE,FALSE)</f>
        <v>1</v>
      </c>
      <c r="F56">
        <f>IF(energia[[#This Row],[Czy wiatr rosło]],F55+1,1)</f>
        <v>2</v>
      </c>
      <c r="G56">
        <v>4044.364</v>
      </c>
      <c r="H56" s="6">
        <f>(energia[[#This Row],[Zrodla_wiatrowe]]+energia[[#This Row],[Zrodla_fotowoltaiczne]])</f>
        <v>6028.1629999999996</v>
      </c>
      <c r="I56" s="6">
        <f>I55+energia[[#This Row],[Łączna produkcja]]-energia[[#This Row],[Zapotrzebowanie]]</f>
        <v>239901.46100000007</v>
      </c>
      <c r="J56" t="b">
        <f>IF(energia[[#This Row],[Magazyn]]&lt;0,TRUE,FALSE)</f>
        <v>0</v>
      </c>
    </row>
    <row r="57" spans="1:10" x14ac:dyDescent="0.3">
      <c r="A57" s="1">
        <v>45385</v>
      </c>
      <c r="B57">
        <v>8</v>
      </c>
      <c r="C57">
        <v>5858.2879999999996</v>
      </c>
      <c r="D57">
        <v>704.4</v>
      </c>
      <c r="E57" t="b">
        <f>IF(energia[[#This Row],[Zrodla_wiatrowe]]&gt;C56,TRUE,FALSE)</f>
        <v>0</v>
      </c>
      <c r="F57">
        <f>IF(energia[[#This Row],[Czy wiatr rosło]],F56+1,1)</f>
        <v>1</v>
      </c>
      <c r="G57">
        <v>6783.9589999999998</v>
      </c>
      <c r="H57" s="6">
        <f>(energia[[#This Row],[Zrodla_wiatrowe]]+energia[[#This Row],[Zrodla_fotowoltaiczne]])</f>
        <v>6562.6879999999992</v>
      </c>
      <c r="I57" s="6">
        <f>I56+energia[[#This Row],[Łączna produkcja]]-energia[[#This Row],[Zapotrzebowanie]]</f>
        <v>239680.19000000006</v>
      </c>
      <c r="J57" t="b">
        <f>IF(energia[[#This Row],[Magazyn]]&lt;0,TRUE,FALSE)</f>
        <v>0</v>
      </c>
    </row>
    <row r="58" spans="1:10" x14ac:dyDescent="0.3">
      <c r="A58" s="1">
        <v>45385</v>
      </c>
      <c r="B58">
        <v>9</v>
      </c>
      <c r="C58">
        <v>5839.8249999999998</v>
      </c>
      <c r="D58">
        <v>1911</v>
      </c>
      <c r="E58" t="b">
        <f>IF(energia[[#This Row],[Zrodla_wiatrowe]]&gt;C57,TRUE,FALSE)</f>
        <v>0</v>
      </c>
      <c r="F58">
        <f>IF(energia[[#This Row],[Czy wiatr rosło]],F57+1,1)</f>
        <v>1</v>
      </c>
      <c r="G58">
        <v>7598.0280000000002</v>
      </c>
      <c r="H58" s="6">
        <f>(energia[[#This Row],[Zrodla_wiatrowe]]+energia[[#This Row],[Zrodla_fotowoltaiczne]])</f>
        <v>7750.8249999999998</v>
      </c>
      <c r="I58" s="6">
        <f>I57+energia[[#This Row],[Łączna produkcja]]-energia[[#This Row],[Zapotrzebowanie]]</f>
        <v>239832.98700000008</v>
      </c>
      <c r="J58" t="b">
        <f>IF(energia[[#This Row],[Magazyn]]&lt;0,TRUE,FALSE)</f>
        <v>0</v>
      </c>
    </row>
    <row r="59" spans="1:10" x14ac:dyDescent="0.3">
      <c r="A59" s="1">
        <v>45385</v>
      </c>
      <c r="B59">
        <v>10</v>
      </c>
      <c r="C59">
        <v>5734.2629999999999</v>
      </c>
      <c r="D59">
        <v>3500</v>
      </c>
      <c r="E59" t="b">
        <f>IF(energia[[#This Row],[Zrodla_wiatrowe]]&gt;C58,TRUE,FALSE)</f>
        <v>0</v>
      </c>
      <c r="F59">
        <f>IF(energia[[#This Row],[Czy wiatr rosło]],F58+1,1)</f>
        <v>1</v>
      </c>
      <c r="G59">
        <v>8480.3060000000005</v>
      </c>
      <c r="H59" s="6">
        <f>(energia[[#This Row],[Zrodla_wiatrowe]]+energia[[#This Row],[Zrodla_fotowoltaiczne]])</f>
        <v>9234.262999999999</v>
      </c>
      <c r="I59" s="6">
        <f>I58+energia[[#This Row],[Łączna produkcja]]-energia[[#This Row],[Zapotrzebowanie]]</f>
        <v>240586.94400000008</v>
      </c>
      <c r="J59" t="b">
        <f>IF(energia[[#This Row],[Magazyn]]&lt;0,TRUE,FALSE)</f>
        <v>0</v>
      </c>
    </row>
    <row r="60" spans="1:10" x14ac:dyDescent="0.3">
      <c r="A60" s="1">
        <v>45385</v>
      </c>
      <c r="B60">
        <v>11</v>
      </c>
      <c r="C60">
        <v>5387.15</v>
      </c>
      <c r="D60">
        <v>4405.4129999999996</v>
      </c>
      <c r="E60" t="b">
        <f>IF(energia[[#This Row],[Zrodla_wiatrowe]]&gt;C59,TRUE,FALSE)</f>
        <v>0</v>
      </c>
      <c r="F60">
        <f>IF(energia[[#This Row],[Czy wiatr rosło]],F59+1,1)</f>
        <v>1</v>
      </c>
      <c r="G60">
        <v>8456.48</v>
      </c>
      <c r="H60" s="6">
        <f>(energia[[#This Row],[Zrodla_wiatrowe]]+energia[[#This Row],[Zrodla_fotowoltaiczne]])</f>
        <v>9792.5629999999983</v>
      </c>
      <c r="I60" s="6">
        <f>I59+energia[[#This Row],[Łączna produkcja]]-energia[[#This Row],[Zapotrzebowanie]]</f>
        <v>241923.02700000006</v>
      </c>
      <c r="J60" t="b">
        <f>IF(energia[[#This Row],[Magazyn]]&lt;0,TRUE,FALSE)</f>
        <v>0</v>
      </c>
    </row>
    <row r="61" spans="1:10" x14ac:dyDescent="0.3">
      <c r="A61" s="1">
        <v>45385</v>
      </c>
      <c r="B61">
        <v>12</v>
      </c>
      <c r="C61">
        <v>5066.9380000000001</v>
      </c>
      <c r="D61">
        <v>4657.0379999999996</v>
      </c>
      <c r="E61" t="b">
        <f>IF(energia[[#This Row],[Zrodla_wiatrowe]]&gt;C60,TRUE,FALSE)</f>
        <v>0</v>
      </c>
      <c r="F61">
        <f>IF(energia[[#This Row],[Czy wiatr rosło]],F60+1,1)</f>
        <v>1</v>
      </c>
      <c r="G61">
        <v>8597.0110000000004</v>
      </c>
      <c r="H61" s="6">
        <f>(energia[[#This Row],[Zrodla_wiatrowe]]+energia[[#This Row],[Zrodla_fotowoltaiczne]])</f>
        <v>9723.9759999999987</v>
      </c>
      <c r="I61" s="6">
        <f>I60+energia[[#This Row],[Łączna produkcja]]-energia[[#This Row],[Zapotrzebowanie]]</f>
        <v>243049.99200000006</v>
      </c>
      <c r="J61" t="b">
        <f>IF(energia[[#This Row],[Magazyn]]&lt;0,TRUE,FALSE)</f>
        <v>0</v>
      </c>
    </row>
    <row r="62" spans="1:10" x14ac:dyDescent="0.3">
      <c r="A62" s="1">
        <v>45385</v>
      </c>
      <c r="B62">
        <v>13</v>
      </c>
      <c r="C62">
        <v>4827.9750000000004</v>
      </c>
      <c r="D62">
        <v>5127.7879999999996</v>
      </c>
      <c r="E62" t="b">
        <f>IF(energia[[#This Row],[Zrodla_wiatrowe]]&gt;C61,TRUE,FALSE)</f>
        <v>0</v>
      </c>
      <c r="F62">
        <f>IF(energia[[#This Row],[Czy wiatr rosło]],F61+1,1)</f>
        <v>1</v>
      </c>
      <c r="G62">
        <v>8956.3119999999999</v>
      </c>
      <c r="H62" s="6">
        <f>(energia[[#This Row],[Zrodla_wiatrowe]]+energia[[#This Row],[Zrodla_fotowoltaiczne]])</f>
        <v>9955.762999999999</v>
      </c>
      <c r="I62" s="6">
        <f>I61+energia[[#This Row],[Łączna produkcja]]-energia[[#This Row],[Zapotrzebowanie]]</f>
        <v>244049.44300000006</v>
      </c>
      <c r="J62" t="b">
        <f>IF(energia[[#This Row],[Magazyn]]&lt;0,TRUE,FALSE)</f>
        <v>0</v>
      </c>
    </row>
    <row r="63" spans="1:10" x14ac:dyDescent="0.3">
      <c r="A63" s="1">
        <v>45385</v>
      </c>
      <c r="B63">
        <v>14</v>
      </c>
      <c r="C63">
        <v>4638.2129999999997</v>
      </c>
      <c r="D63">
        <v>5204.4750000000004</v>
      </c>
      <c r="E63" t="b">
        <f>IF(energia[[#This Row],[Zrodla_wiatrowe]]&gt;C62,TRUE,FALSE)</f>
        <v>0</v>
      </c>
      <c r="F63">
        <f>IF(energia[[#This Row],[Czy wiatr rosło]],F62+1,1)</f>
        <v>1</v>
      </c>
      <c r="G63">
        <v>7076.79</v>
      </c>
      <c r="H63" s="6">
        <f>(energia[[#This Row],[Zrodla_wiatrowe]]+energia[[#This Row],[Zrodla_fotowoltaiczne]])</f>
        <v>9842.6880000000001</v>
      </c>
      <c r="I63" s="6">
        <f>I62+energia[[#This Row],[Łączna produkcja]]-energia[[#This Row],[Zapotrzebowanie]]</f>
        <v>246815.34100000004</v>
      </c>
      <c r="J63" t="b">
        <f>IF(energia[[#This Row],[Magazyn]]&lt;0,TRUE,FALSE)</f>
        <v>0</v>
      </c>
    </row>
    <row r="64" spans="1:10" x14ac:dyDescent="0.3">
      <c r="A64" s="1">
        <v>45385</v>
      </c>
      <c r="B64">
        <v>15</v>
      </c>
      <c r="C64">
        <v>4444.0129999999999</v>
      </c>
      <c r="D64">
        <v>5284.65</v>
      </c>
      <c r="E64" t="b">
        <f>IF(energia[[#This Row],[Zrodla_wiatrowe]]&gt;C63,TRUE,FALSE)</f>
        <v>0</v>
      </c>
      <c r="F64">
        <f>IF(energia[[#This Row],[Czy wiatr rosło]],F63+1,1)</f>
        <v>1</v>
      </c>
      <c r="G64">
        <v>7295.4709999999995</v>
      </c>
      <c r="H64" s="6">
        <f>(energia[[#This Row],[Zrodla_wiatrowe]]+energia[[#This Row],[Zrodla_fotowoltaiczne]])</f>
        <v>9728.6630000000005</v>
      </c>
      <c r="I64" s="6">
        <f>I63+energia[[#This Row],[Łączna produkcja]]-energia[[#This Row],[Zapotrzebowanie]]</f>
        <v>249248.53300000005</v>
      </c>
      <c r="J64" t="b">
        <f>IF(energia[[#This Row],[Magazyn]]&lt;0,TRUE,FALSE)</f>
        <v>0</v>
      </c>
    </row>
    <row r="65" spans="1:10" x14ac:dyDescent="0.3">
      <c r="A65" s="1">
        <v>45385</v>
      </c>
      <c r="B65">
        <v>16</v>
      </c>
      <c r="C65">
        <v>4060.7249999999999</v>
      </c>
      <c r="D65">
        <v>4440.7879999999996</v>
      </c>
      <c r="E65" t="b">
        <f>IF(energia[[#This Row],[Zrodla_wiatrowe]]&gt;C64,TRUE,FALSE)</f>
        <v>0</v>
      </c>
      <c r="F65">
        <f>IF(energia[[#This Row],[Czy wiatr rosło]],F64+1,1)</f>
        <v>1</v>
      </c>
      <c r="G65">
        <v>7347.4369999999999</v>
      </c>
      <c r="H65" s="6">
        <f>(energia[[#This Row],[Zrodla_wiatrowe]]+energia[[#This Row],[Zrodla_fotowoltaiczne]])</f>
        <v>8501.512999999999</v>
      </c>
      <c r="I65" s="6">
        <f>I64+energia[[#This Row],[Łączna produkcja]]-energia[[#This Row],[Zapotrzebowanie]]</f>
        <v>250402.60900000005</v>
      </c>
      <c r="J65" t="b">
        <f>IF(energia[[#This Row],[Magazyn]]&lt;0,TRUE,FALSE)</f>
        <v>0</v>
      </c>
    </row>
    <row r="66" spans="1:10" x14ac:dyDescent="0.3">
      <c r="A66" s="1">
        <v>45385</v>
      </c>
      <c r="B66">
        <v>17</v>
      </c>
      <c r="C66">
        <v>3365</v>
      </c>
      <c r="D66">
        <v>3380.625</v>
      </c>
      <c r="E66" t="b">
        <f>IF(energia[[#This Row],[Zrodla_wiatrowe]]&gt;C65,TRUE,FALSE)</f>
        <v>0</v>
      </c>
      <c r="F66">
        <f>IF(energia[[#This Row],[Czy wiatr rosło]],F65+1,1)</f>
        <v>1</v>
      </c>
      <c r="G66">
        <v>7089.9080000000004</v>
      </c>
      <c r="H66" s="6">
        <f>(energia[[#This Row],[Zrodla_wiatrowe]]+energia[[#This Row],[Zrodla_fotowoltaiczne]])</f>
        <v>6745.625</v>
      </c>
      <c r="I66" s="6">
        <f>I65+energia[[#This Row],[Łączna produkcja]]-energia[[#This Row],[Zapotrzebowanie]]</f>
        <v>250058.32600000006</v>
      </c>
      <c r="J66" t="b">
        <f>IF(energia[[#This Row],[Magazyn]]&lt;0,TRUE,FALSE)</f>
        <v>0</v>
      </c>
    </row>
    <row r="67" spans="1:10" x14ac:dyDescent="0.3">
      <c r="A67" s="1">
        <v>45385</v>
      </c>
      <c r="B67">
        <v>18</v>
      </c>
      <c r="C67">
        <v>2697.3380000000002</v>
      </c>
      <c r="D67">
        <v>1752.175</v>
      </c>
      <c r="E67" t="b">
        <f>IF(energia[[#This Row],[Zrodla_wiatrowe]]&gt;C66,TRUE,FALSE)</f>
        <v>0</v>
      </c>
      <c r="F67">
        <f>IF(energia[[#This Row],[Czy wiatr rosło]],F66+1,1)</f>
        <v>1</v>
      </c>
      <c r="G67">
        <v>6515.6819999999998</v>
      </c>
      <c r="H67" s="6">
        <f>(energia[[#This Row],[Zrodla_wiatrowe]]+energia[[#This Row],[Zrodla_fotowoltaiczne]])</f>
        <v>4449.5129999999999</v>
      </c>
      <c r="I67" s="6">
        <f>I66+energia[[#This Row],[Łączna produkcja]]-energia[[#This Row],[Zapotrzebowanie]]</f>
        <v>247992.15700000006</v>
      </c>
      <c r="J67" t="b">
        <f>IF(energia[[#This Row],[Magazyn]]&lt;0,TRUE,FALSE)</f>
        <v>0</v>
      </c>
    </row>
    <row r="68" spans="1:10" x14ac:dyDescent="0.3">
      <c r="A68" s="1">
        <v>45385</v>
      </c>
      <c r="B68">
        <v>19</v>
      </c>
      <c r="C68">
        <v>2075.5749999999998</v>
      </c>
      <c r="D68">
        <v>515.93799999999999</v>
      </c>
      <c r="E68" t="b">
        <f>IF(energia[[#This Row],[Zrodla_wiatrowe]]&gt;C67,TRUE,FALSE)</f>
        <v>0</v>
      </c>
      <c r="F68">
        <f>IF(energia[[#This Row],[Czy wiatr rosło]],F67+1,1)</f>
        <v>1</v>
      </c>
      <c r="G68">
        <v>6961.8810000000003</v>
      </c>
      <c r="H68" s="6">
        <f>(energia[[#This Row],[Zrodla_wiatrowe]]+energia[[#This Row],[Zrodla_fotowoltaiczne]])</f>
        <v>2591.5129999999999</v>
      </c>
      <c r="I68" s="6">
        <f>I67+energia[[#This Row],[Łączna produkcja]]-energia[[#This Row],[Zapotrzebowanie]]</f>
        <v>243621.78900000008</v>
      </c>
      <c r="J68" t="b">
        <f>IF(energia[[#This Row],[Magazyn]]&lt;0,TRUE,FALSE)</f>
        <v>0</v>
      </c>
    </row>
    <row r="69" spans="1:10" x14ac:dyDescent="0.3">
      <c r="A69" s="1">
        <v>45385</v>
      </c>
      <c r="B69">
        <v>20</v>
      </c>
      <c r="C69">
        <v>1725.175</v>
      </c>
      <c r="D69">
        <v>98.513000000000005</v>
      </c>
      <c r="E69" t="b">
        <f>IF(energia[[#This Row],[Zrodla_wiatrowe]]&gt;C68,TRUE,FALSE)</f>
        <v>0</v>
      </c>
      <c r="F69">
        <f>IF(energia[[#This Row],[Czy wiatr rosło]],F68+1,1)</f>
        <v>1</v>
      </c>
      <c r="G69">
        <v>6773.4030000000002</v>
      </c>
      <c r="H69" s="6">
        <f>(energia[[#This Row],[Zrodla_wiatrowe]]+energia[[#This Row],[Zrodla_fotowoltaiczne]])</f>
        <v>1823.6879999999999</v>
      </c>
      <c r="I69" s="6">
        <f>I68+energia[[#This Row],[Łączna produkcja]]-energia[[#This Row],[Zapotrzebowanie]]</f>
        <v>238672.07400000008</v>
      </c>
      <c r="J69" t="b">
        <f>IF(energia[[#This Row],[Magazyn]]&lt;0,TRUE,FALSE)</f>
        <v>0</v>
      </c>
    </row>
    <row r="70" spans="1:10" x14ac:dyDescent="0.3">
      <c r="A70" s="1">
        <v>45385</v>
      </c>
      <c r="B70">
        <v>21</v>
      </c>
      <c r="C70">
        <v>1506.8630000000001</v>
      </c>
      <c r="D70">
        <v>0</v>
      </c>
      <c r="E70" t="b">
        <f>IF(energia[[#This Row],[Zrodla_wiatrowe]]&gt;C69,TRUE,FALSE)</f>
        <v>0</v>
      </c>
      <c r="F70">
        <f>IF(energia[[#This Row],[Czy wiatr rosło]],F69+1,1)</f>
        <v>1</v>
      </c>
      <c r="G70">
        <v>5263.0720000000001</v>
      </c>
      <c r="H70" s="6">
        <f>(energia[[#This Row],[Zrodla_wiatrowe]]+energia[[#This Row],[Zrodla_fotowoltaiczne]])</f>
        <v>1506.8630000000001</v>
      </c>
      <c r="I70" s="6">
        <f>I69+energia[[#This Row],[Łączna produkcja]]-energia[[#This Row],[Zapotrzebowanie]]</f>
        <v>234915.86500000011</v>
      </c>
      <c r="J70" t="b">
        <f>IF(energia[[#This Row],[Magazyn]]&lt;0,TRUE,FALSE)</f>
        <v>0</v>
      </c>
    </row>
    <row r="71" spans="1:10" x14ac:dyDescent="0.3">
      <c r="A71" s="1">
        <v>45385</v>
      </c>
      <c r="B71">
        <v>22</v>
      </c>
      <c r="C71">
        <v>1343.6</v>
      </c>
      <c r="D71">
        <v>0</v>
      </c>
      <c r="E71" t="b">
        <f>IF(energia[[#This Row],[Zrodla_wiatrowe]]&gt;C70,TRUE,FALSE)</f>
        <v>0</v>
      </c>
      <c r="F71">
        <f>IF(energia[[#This Row],[Czy wiatr rosło]],F70+1,1)</f>
        <v>1</v>
      </c>
      <c r="G71">
        <v>5080.067</v>
      </c>
      <c r="H71" s="6">
        <f>(energia[[#This Row],[Zrodla_wiatrowe]]+energia[[#This Row],[Zrodla_fotowoltaiczne]])</f>
        <v>1343.6</v>
      </c>
      <c r="I71" s="6">
        <f>I70+energia[[#This Row],[Łączna produkcja]]-energia[[#This Row],[Zapotrzebowanie]]</f>
        <v>231179.3980000001</v>
      </c>
      <c r="J71" t="b">
        <f>IF(energia[[#This Row],[Magazyn]]&lt;0,TRUE,FALSE)</f>
        <v>0</v>
      </c>
    </row>
    <row r="72" spans="1:10" x14ac:dyDescent="0.3">
      <c r="A72" s="1">
        <v>45385</v>
      </c>
      <c r="B72">
        <v>23</v>
      </c>
      <c r="C72">
        <v>1320.5630000000001</v>
      </c>
      <c r="D72">
        <v>0</v>
      </c>
      <c r="E72" t="b">
        <f>IF(energia[[#This Row],[Zrodla_wiatrowe]]&gt;C71,TRUE,FALSE)</f>
        <v>0</v>
      </c>
      <c r="F72">
        <f>IF(energia[[#This Row],[Czy wiatr rosło]],F71+1,1)</f>
        <v>1</v>
      </c>
      <c r="G72">
        <v>3147.1689999999999</v>
      </c>
      <c r="H72" s="6">
        <f>(energia[[#This Row],[Zrodla_wiatrowe]]+energia[[#This Row],[Zrodla_fotowoltaiczne]])</f>
        <v>1320.5630000000001</v>
      </c>
      <c r="I72" s="6">
        <f>I71+energia[[#This Row],[Łączna produkcja]]-energia[[#This Row],[Zapotrzebowanie]]</f>
        <v>229352.7920000001</v>
      </c>
      <c r="J72" t="b">
        <f>IF(energia[[#This Row],[Magazyn]]&lt;0,TRUE,FALSE)</f>
        <v>0</v>
      </c>
    </row>
    <row r="73" spans="1:10" x14ac:dyDescent="0.3">
      <c r="A73" s="1">
        <v>45385</v>
      </c>
      <c r="B73">
        <v>24</v>
      </c>
      <c r="C73">
        <v>1277.1379999999999</v>
      </c>
      <c r="D73">
        <v>0</v>
      </c>
      <c r="E73" t="b">
        <f>IF(energia[[#This Row],[Zrodla_wiatrowe]]&gt;C72,TRUE,FALSE)</f>
        <v>0</v>
      </c>
      <c r="F73">
        <f>IF(energia[[#This Row],[Czy wiatr rosło]],F72+1,1)</f>
        <v>1</v>
      </c>
      <c r="G73">
        <v>1847.797</v>
      </c>
      <c r="H73" s="6">
        <f>(energia[[#This Row],[Zrodla_wiatrowe]]+energia[[#This Row],[Zrodla_fotowoltaiczne]])</f>
        <v>1277.1379999999999</v>
      </c>
      <c r="I73" s="6">
        <f>I72+energia[[#This Row],[Łączna produkcja]]-energia[[#This Row],[Zapotrzebowanie]]</f>
        <v>228782.13300000012</v>
      </c>
      <c r="J73" t="b">
        <f>IF(energia[[#This Row],[Magazyn]]&lt;0,TRUE,FALSE)</f>
        <v>0</v>
      </c>
    </row>
    <row r="74" spans="1:10" x14ac:dyDescent="0.3">
      <c r="A74" s="1">
        <v>45386</v>
      </c>
      <c r="B74">
        <v>1</v>
      </c>
      <c r="C74">
        <v>1296.9380000000001</v>
      </c>
      <c r="D74">
        <v>0</v>
      </c>
      <c r="E74" t="b">
        <f>IF(energia[[#This Row],[Zrodla_wiatrowe]]&gt;C73,TRUE,FALSE)</f>
        <v>1</v>
      </c>
      <c r="F74">
        <f>IF(energia[[#This Row],[Czy wiatr rosło]],F73+1,1)</f>
        <v>2</v>
      </c>
      <c r="G74">
        <v>1677.02</v>
      </c>
      <c r="H74" s="6">
        <f>(energia[[#This Row],[Zrodla_wiatrowe]]+energia[[#This Row],[Zrodla_fotowoltaiczne]])</f>
        <v>1296.9380000000001</v>
      </c>
      <c r="I74" s="6">
        <f>I73+energia[[#This Row],[Łączna produkcja]]-energia[[#This Row],[Zapotrzebowanie]]</f>
        <v>228402.05100000012</v>
      </c>
      <c r="J74" t="b">
        <f>IF(energia[[#This Row],[Magazyn]]&lt;0,TRUE,FALSE)</f>
        <v>0</v>
      </c>
    </row>
    <row r="75" spans="1:10" x14ac:dyDescent="0.3">
      <c r="A75" s="1">
        <v>45386</v>
      </c>
      <c r="B75">
        <v>2</v>
      </c>
      <c r="C75">
        <v>1376.75</v>
      </c>
      <c r="D75">
        <v>0</v>
      </c>
      <c r="E75" t="b">
        <f>IF(energia[[#This Row],[Zrodla_wiatrowe]]&gt;C74,TRUE,FALSE)</f>
        <v>1</v>
      </c>
      <c r="F75">
        <f>IF(energia[[#This Row],[Czy wiatr rosło]],F74+1,1)</f>
        <v>3</v>
      </c>
      <c r="G75">
        <v>1437.8030000000001</v>
      </c>
      <c r="H75" s="6">
        <f>(energia[[#This Row],[Zrodla_wiatrowe]]+energia[[#This Row],[Zrodla_fotowoltaiczne]])</f>
        <v>1376.75</v>
      </c>
      <c r="I75" s="6">
        <f>I74+energia[[#This Row],[Łączna produkcja]]-energia[[#This Row],[Zapotrzebowanie]]</f>
        <v>228340.99800000011</v>
      </c>
      <c r="J75" t="b">
        <f>IF(energia[[#This Row],[Magazyn]]&lt;0,TRUE,FALSE)</f>
        <v>0</v>
      </c>
    </row>
    <row r="76" spans="1:10" x14ac:dyDescent="0.3">
      <c r="A76" s="1">
        <v>45386</v>
      </c>
      <c r="B76">
        <v>3</v>
      </c>
      <c r="C76">
        <v>1459.925</v>
      </c>
      <c r="D76">
        <v>0</v>
      </c>
      <c r="E76" t="b">
        <f>IF(energia[[#This Row],[Zrodla_wiatrowe]]&gt;C75,TRUE,FALSE)</f>
        <v>1</v>
      </c>
      <c r="F76">
        <f>IF(energia[[#This Row],[Czy wiatr rosło]],F75+1,1)</f>
        <v>4</v>
      </c>
      <c r="G76">
        <v>1344.7570000000001</v>
      </c>
      <c r="H76" s="6">
        <f>(energia[[#This Row],[Zrodla_wiatrowe]]+energia[[#This Row],[Zrodla_fotowoltaiczne]])</f>
        <v>1459.925</v>
      </c>
      <c r="I76" s="6">
        <f>I75+energia[[#This Row],[Łączna produkcja]]-energia[[#This Row],[Zapotrzebowanie]]</f>
        <v>228456.16600000008</v>
      </c>
      <c r="J76" t="b">
        <f>IF(energia[[#This Row],[Magazyn]]&lt;0,TRUE,FALSE)</f>
        <v>0</v>
      </c>
    </row>
    <row r="77" spans="1:10" x14ac:dyDescent="0.3">
      <c r="A77" s="1">
        <v>45386</v>
      </c>
      <c r="B77">
        <v>4</v>
      </c>
      <c r="C77">
        <v>1527.538</v>
      </c>
      <c r="D77">
        <v>0</v>
      </c>
      <c r="E77" t="b">
        <f>IF(energia[[#This Row],[Zrodla_wiatrowe]]&gt;C76,TRUE,FALSE)</f>
        <v>1</v>
      </c>
      <c r="F77">
        <f>IF(energia[[#This Row],[Czy wiatr rosło]],F76+1,1)</f>
        <v>5</v>
      </c>
      <c r="G77">
        <v>1347.5129999999999</v>
      </c>
      <c r="H77" s="6">
        <f>(energia[[#This Row],[Zrodla_wiatrowe]]+energia[[#This Row],[Zrodla_fotowoltaiczne]])</f>
        <v>1527.538</v>
      </c>
      <c r="I77" s="6">
        <f>I76+energia[[#This Row],[Łączna produkcja]]-energia[[#This Row],[Zapotrzebowanie]]</f>
        <v>228636.19100000008</v>
      </c>
      <c r="J77" t="b">
        <f>IF(energia[[#This Row],[Magazyn]]&lt;0,TRUE,FALSE)</f>
        <v>0</v>
      </c>
    </row>
    <row r="78" spans="1:10" x14ac:dyDescent="0.3">
      <c r="A78" s="1">
        <v>45386</v>
      </c>
      <c r="B78">
        <v>5</v>
      </c>
      <c r="C78">
        <v>1725.0630000000001</v>
      </c>
      <c r="D78">
        <v>0</v>
      </c>
      <c r="E78" t="b">
        <f>IF(energia[[#This Row],[Zrodla_wiatrowe]]&gt;C77,TRUE,FALSE)</f>
        <v>1</v>
      </c>
      <c r="F78">
        <f>IF(energia[[#This Row],[Czy wiatr rosło]],F77+1,1)</f>
        <v>6</v>
      </c>
      <c r="G78">
        <v>2020.11</v>
      </c>
      <c r="H78" s="6">
        <f>(energia[[#This Row],[Zrodla_wiatrowe]]+energia[[#This Row],[Zrodla_fotowoltaiczne]])</f>
        <v>1725.0630000000001</v>
      </c>
      <c r="I78" s="6">
        <f>I77+energia[[#This Row],[Łączna produkcja]]-energia[[#This Row],[Zapotrzebowanie]]</f>
        <v>228341.14400000009</v>
      </c>
      <c r="J78" t="b">
        <f>IF(energia[[#This Row],[Magazyn]]&lt;0,TRUE,FALSE)</f>
        <v>0</v>
      </c>
    </row>
    <row r="79" spans="1:10" x14ac:dyDescent="0.3">
      <c r="A79" s="1">
        <v>45386</v>
      </c>
      <c r="B79">
        <v>6</v>
      </c>
      <c r="C79">
        <v>1804.5630000000001</v>
      </c>
      <c r="D79">
        <v>0.52500000000000002</v>
      </c>
      <c r="E79" t="b">
        <f>IF(energia[[#This Row],[Zrodla_wiatrowe]]&gt;C78,TRUE,FALSE)</f>
        <v>1</v>
      </c>
      <c r="F79">
        <f>IF(energia[[#This Row],[Czy wiatr rosło]],F78+1,1)</f>
        <v>7</v>
      </c>
      <c r="G79">
        <v>3345.3690000000001</v>
      </c>
      <c r="H79" s="6">
        <f>(energia[[#This Row],[Zrodla_wiatrowe]]+energia[[#This Row],[Zrodla_fotowoltaiczne]])</f>
        <v>1805.0880000000002</v>
      </c>
      <c r="I79" s="6">
        <f>I78+energia[[#This Row],[Łączna produkcja]]-energia[[#This Row],[Zapotrzebowanie]]</f>
        <v>226800.86300000007</v>
      </c>
      <c r="J79" t="b">
        <f>IF(energia[[#This Row],[Magazyn]]&lt;0,TRUE,FALSE)</f>
        <v>0</v>
      </c>
    </row>
    <row r="80" spans="1:10" x14ac:dyDescent="0.3">
      <c r="A80" s="1">
        <v>45386</v>
      </c>
      <c r="B80">
        <v>7</v>
      </c>
      <c r="C80">
        <v>1882.8</v>
      </c>
      <c r="D80">
        <v>182.78800000000001</v>
      </c>
      <c r="E80" t="b">
        <f>IF(energia[[#This Row],[Zrodla_wiatrowe]]&gt;C79,TRUE,FALSE)</f>
        <v>1</v>
      </c>
      <c r="F80">
        <f>IF(energia[[#This Row],[Czy wiatr rosło]],F79+1,1)</f>
        <v>8</v>
      </c>
      <c r="G80">
        <v>4557.18</v>
      </c>
      <c r="H80" s="6">
        <f>(energia[[#This Row],[Zrodla_wiatrowe]]+energia[[#This Row],[Zrodla_fotowoltaiczne]])</f>
        <v>2065.5879999999997</v>
      </c>
      <c r="I80" s="6">
        <f>I79+energia[[#This Row],[Łączna produkcja]]-energia[[#This Row],[Zapotrzebowanie]]</f>
        <v>224309.27100000007</v>
      </c>
      <c r="J80" t="b">
        <f>IF(energia[[#This Row],[Magazyn]]&lt;0,TRUE,FALSE)</f>
        <v>0</v>
      </c>
    </row>
    <row r="81" spans="1:10" x14ac:dyDescent="0.3">
      <c r="A81" s="1">
        <v>45386</v>
      </c>
      <c r="B81">
        <v>8</v>
      </c>
      <c r="C81">
        <v>1927.5</v>
      </c>
      <c r="D81">
        <v>903.98800000000006</v>
      </c>
      <c r="E81" t="b">
        <f>IF(energia[[#This Row],[Zrodla_wiatrowe]]&gt;C80,TRUE,FALSE)</f>
        <v>1</v>
      </c>
      <c r="F81">
        <f>IF(energia[[#This Row],[Czy wiatr rosło]],F80+1,1)</f>
        <v>9</v>
      </c>
      <c r="G81">
        <v>6740.7489999999998</v>
      </c>
      <c r="H81" s="6">
        <f>(energia[[#This Row],[Zrodla_wiatrowe]]+energia[[#This Row],[Zrodla_fotowoltaiczne]])</f>
        <v>2831.4880000000003</v>
      </c>
      <c r="I81" s="6">
        <f>I80+energia[[#This Row],[Łączna produkcja]]-energia[[#This Row],[Zapotrzebowanie]]</f>
        <v>220400.01000000007</v>
      </c>
      <c r="J81" t="b">
        <f>IF(energia[[#This Row],[Magazyn]]&lt;0,TRUE,FALSE)</f>
        <v>0</v>
      </c>
    </row>
    <row r="82" spans="1:10" x14ac:dyDescent="0.3">
      <c r="A82" s="1">
        <v>45386</v>
      </c>
      <c r="B82">
        <v>9</v>
      </c>
      <c r="C82">
        <v>1803.0630000000001</v>
      </c>
      <c r="D82">
        <v>2087.2249999999999</v>
      </c>
      <c r="E82" t="b">
        <f>IF(energia[[#This Row],[Zrodla_wiatrowe]]&gt;C81,TRUE,FALSE)</f>
        <v>0</v>
      </c>
      <c r="F82">
        <f>IF(energia[[#This Row],[Czy wiatr rosło]],F81+1,1)</f>
        <v>1</v>
      </c>
      <c r="G82">
        <v>7549.6329999999998</v>
      </c>
      <c r="H82" s="6">
        <f>(energia[[#This Row],[Zrodla_wiatrowe]]+energia[[#This Row],[Zrodla_fotowoltaiczne]])</f>
        <v>3890.288</v>
      </c>
      <c r="I82" s="6">
        <f>I81+energia[[#This Row],[Łączna produkcja]]-energia[[#This Row],[Zapotrzebowanie]]</f>
        <v>216740.66500000007</v>
      </c>
      <c r="J82" t="b">
        <f>IF(energia[[#This Row],[Magazyn]]&lt;0,TRUE,FALSE)</f>
        <v>0</v>
      </c>
    </row>
    <row r="83" spans="1:10" x14ac:dyDescent="0.3">
      <c r="A83" s="1">
        <v>45386</v>
      </c>
      <c r="B83">
        <v>10</v>
      </c>
      <c r="C83">
        <v>1611.05</v>
      </c>
      <c r="D83">
        <v>3579.6</v>
      </c>
      <c r="E83" t="b">
        <f>IF(energia[[#This Row],[Zrodla_wiatrowe]]&gt;C82,TRUE,FALSE)</f>
        <v>0</v>
      </c>
      <c r="F83">
        <f>IF(energia[[#This Row],[Czy wiatr rosło]],F82+1,1)</f>
        <v>1</v>
      </c>
      <c r="G83">
        <v>8426.2909999999993</v>
      </c>
      <c r="H83" s="6">
        <f>(energia[[#This Row],[Zrodla_wiatrowe]]+energia[[#This Row],[Zrodla_fotowoltaiczne]])</f>
        <v>5190.6499999999996</v>
      </c>
      <c r="I83" s="6">
        <f>I82+energia[[#This Row],[Łączna produkcja]]-energia[[#This Row],[Zapotrzebowanie]]</f>
        <v>213505.02400000006</v>
      </c>
      <c r="J83" t="b">
        <f>IF(energia[[#This Row],[Magazyn]]&lt;0,TRUE,FALSE)</f>
        <v>0</v>
      </c>
    </row>
    <row r="84" spans="1:10" x14ac:dyDescent="0.3">
      <c r="A84" s="1">
        <v>45386</v>
      </c>
      <c r="B84">
        <v>11</v>
      </c>
      <c r="C84">
        <v>1517.413</v>
      </c>
      <c r="D84">
        <v>4306.8379999999997</v>
      </c>
      <c r="E84" t="b">
        <f>IF(energia[[#This Row],[Zrodla_wiatrowe]]&gt;C83,TRUE,FALSE)</f>
        <v>0</v>
      </c>
      <c r="F84">
        <f>IF(energia[[#This Row],[Czy wiatr rosło]],F83+1,1)</f>
        <v>1</v>
      </c>
      <c r="G84">
        <v>8402.6170000000002</v>
      </c>
      <c r="H84" s="6">
        <f>(energia[[#This Row],[Zrodla_wiatrowe]]+energia[[#This Row],[Zrodla_fotowoltaiczne]])</f>
        <v>5824.2510000000002</v>
      </c>
      <c r="I84" s="6">
        <f>I83+energia[[#This Row],[Łączna produkcja]]-energia[[#This Row],[Zapotrzebowanie]]</f>
        <v>210926.65800000005</v>
      </c>
      <c r="J84" t="b">
        <f>IF(energia[[#This Row],[Magazyn]]&lt;0,TRUE,FALSE)</f>
        <v>0</v>
      </c>
    </row>
    <row r="85" spans="1:10" x14ac:dyDescent="0.3">
      <c r="A85" s="1">
        <v>45386</v>
      </c>
      <c r="B85">
        <v>12</v>
      </c>
      <c r="C85">
        <v>1464.9380000000001</v>
      </c>
      <c r="D85">
        <v>5172.3</v>
      </c>
      <c r="E85" t="b">
        <f>IF(energia[[#This Row],[Zrodla_wiatrowe]]&gt;C84,TRUE,FALSE)</f>
        <v>0</v>
      </c>
      <c r="F85">
        <f>IF(energia[[#This Row],[Czy wiatr rosło]],F84+1,1)</f>
        <v>1</v>
      </c>
      <c r="G85">
        <v>8542.2530000000006</v>
      </c>
      <c r="H85" s="6">
        <f>(energia[[#This Row],[Zrodla_wiatrowe]]+energia[[#This Row],[Zrodla_fotowoltaiczne]])</f>
        <v>6637.2380000000003</v>
      </c>
      <c r="I85" s="6">
        <f>I84+energia[[#This Row],[Łączna produkcja]]-energia[[#This Row],[Zapotrzebowanie]]</f>
        <v>209021.64300000007</v>
      </c>
      <c r="J85" t="b">
        <f>IF(energia[[#This Row],[Magazyn]]&lt;0,TRUE,FALSE)</f>
        <v>0</v>
      </c>
    </row>
    <row r="86" spans="1:10" x14ac:dyDescent="0.3">
      <c r="A86" s="1">
        <v>45386</v>
      </c>
      <c r="B86">
        <v>13</v>
      </c>
      <c r="C86">
        <v>1616.9</v>
      </c>
      <c r="D86">
        <v>5723.5129999999999</v>
      </c>
      <c r="E86" t="b">
        <f>IF(energia[[#This Row],[Zrodla_wiatrowe]]&gt;C85,TRUE,FALSE)</f>
        <v>1</v>
      </c>
      <c r="F86">
        <f>IF(energia[[#This Row],[Czy wiatr rosło]],F85+1,1)</f>
        <v>2</v>
      </c>
      <c r="G86">
        <v>8899.2659999999996</v>
      </c>
      <c r="H86" s="6">
        <f>(energia[[#This Row],[Zrodla_wiatrowe]]+energia[[#This Row],[Zrodla_fotowoltaiczne]])</f>
        <v>7340.4130000000005</v>
      </c>
      <c r="I86" s="6">
        <f>I85+energia[[#This Row],[Łączna produkcja]]-energia[[#This Row],[Zapotrzebowanie]]</f>
        <v>207462.79000000007</v>
      </c>
      <c r="J86" t="b">
        <f>IF(energia[[#This Row],[Magazyn]]&lt;0,TRUE,FALSE)</f>
        <v>0</v>
      </c>
    </row>
    <row r="87" spans="1:10" x14ac:dyDescent="0.3">
      <c r="A87" s="1">
        <v>45386</v>
      </c>
      <c r="B87">
        <v>14</v>
      </c>
      <c r="C87">
        <v>1760.9880000000001</v>
      </c>
      <c r="D87">
        <v>5583.875</v>
      </c>
      <c r="E87" t="b">
        <f>IF(energia[[#This Row],[Zrodla_wiatrowe]]&gt;C86,TRUE,FALSE)</f>
        <v>1</v>
      </c>
      <c r="F87">
        <f>IF(energia[[#This Row],[Czy wiatr rosło]],F86+1,1)</f>
        <v>3</v>
      </c>
      <c r="G87">
        <v>8407.4850000000006</v>
      </c>
      <c r="H87" s="6">
        <f>(energia[[#This Row],[Zrodla_wiatrowe]]+energia[[#This Row],[Zrodla_fotowoltaiczne]])</f>
        <v>7344.8630000000003</v>
      </c>
      <c r="I87" s="6">
        <f>I86+energia[[#This Row],[Łączna produkcja]]-energia[[#This Row],[Zapotrzebowanie]]</f>
        <v>206400.16800000006</v>
      </c>
      <c r="J87" t="b">
        <f>IF(energia[[#This Row],[Magazyn]]&lt;0,TRUE,FALSE)</f>
        <v>0</v>
      </c>
    </row>
    <row r="88" spans="1:10" x14ac:dyDescent="0.3">
      <c r="A88" s="1">
        <v>45386</v>
      </c>
      <c r="B88">
        <v>15</v>
      </c>
      <c r="C88">
        <v>1910.588</v>
      </c>
      <c r="D88">
        <v>5109.6000000000004</v>
      </c>
      <c r="E88" t="b">
        <f>IF(energia[[#This Row],[Zrodla_wiatrowe]]&gt;C87,TRUE,FALSE)</f>
        <v>1</v>
      </c>
      <c r="F88">
        <f>IF(energia[[#This Row],[Czy wiatr rosło]],F87+1,1)</f>
        <v>4</v>
      </c>
      <c r="G88">
        <v>8667.2860000000001</v>
      </c>
      <c r="H88" s="6">
        <f>(energia[[#This Row],[Zrodla_wiatrowe]]+energia[[#This Row],[Zrodla_fotowoltaiczne]])</f>
        <v>7020.1880000000001</v>
      </c>
      <c r="I88" s="6">
        <f>I87+energia[[#This Row],[Łączna produkcja]]-energia[[#This Row],[Zapotrzebowanie]]</f>
        <v>204753.07000000007</v>
      </c>
      <c r="J88" t="b">
        <f>IF(energia[[#This Row],[Magazyn]]&lt;0,TRUE,FALSE)</f>
        <v>0</v>
      </c>
    </row>
    <row r="89" spans="1:10" x14ac:dyDescent="0.3">
      <c r="A89" s="1">
        <v>45386</v>
      </c>
      <c r="B89">
        <v>16</v>
      </c>
      <c r="C89">
        <v>2147.8380000000002</v>
      </c>
      <c r="D89">
        <v>4166.7</v>
      </c>
      <c r="E89" t="b">
        <f>IF(energia[[#This Row],[Zrodla_wiatrowe]]&gt;C88,TRUE,FALSE)</f>
        <v>1</v>
      </c>
      <c r="F89">
        <f>IF(energia[[#This Row],[Czy wiatr rosło]],F88+1,1)</f>
        <v>5</v>
      </c>
      <c r="G89">
        <v>8729.0239999999994</v>
      </c>
      <c r="H89" s="6">
        <f>(energia[[#This Row],[Zrodla_wiatrowe]]+energia[[#This Row],[Zrodla_fotowoltaiczne]])</f>
        <v>6314.5380000000005</v>
      </c>
      <c r="I89" s="6">
        <f>I88+energia[[#This Row],[Łączna produkcja]]-energia[[#This Row],[Zapotrzebowanie]]</f>
        <v>202338.58400000006</v>
      </c>
      <c r="J89" t="b">
        <f>IF(energia[[#This Row],[Magazyn]]&lt;0,TRUE,FALSE)</f>
        <v>0</v>
      </c>
    </row>
    <row r="90" spans="1:10" x14ac:dyDescent="0.3">
      <c r="A90" s="1">
        <v>45386</v>
      </c>
      <c r="B90">
        <v>17</v>
      </c>
      <c r="C90">
        <v>2389</v>
      </c>
      <c r="D90">
        <v>3069.4630000000002</v>
      </c>
      <c r="E90" t="b">
        <f>IF(energia[[#This Row],[Zrodla_wiatrowe]]&gt;C89,TRUE,FALSE)</f>
        <v>1</v>
      </c>
      <c r="F90">
        <f>IF(energia[[#This Row],[Czy wiatr rosło]],F89+1,1)</f>
        <v>6</v>
      </c>
      <c r="G90">
        <v>8415.4120000000003</v>
      </c>
      <c r="H90" s="6">
        <f>(energia[[#This Row],[Zrodla_wiatrowe]]+energia[[#This Row],[Zrodla_fotowoltaiczne]])</f>
        <v>5458.4629999999997</v>
      </c>
      <c r="I90" s="6">
        <f>I89+energia[[#This Row],[Łączna produkcja]]-energia[[#This Row],[Zapotrzebowanie]]</f>
        <v>199381.63500000004</v>
      </c>
      <c r="J90" t="b">
        <f>IF(energia[[#This Row],[Magazyn]]&lt;0,TRUE,FALSE)</f>
        <v>0</v>
      </c>
    </row>
    <row r="91" spans="1:10" x14ac:dyDescent="0.3">
      <c r="A91" s="1">
        <v>45386</v>
      </c>
      <c r="B91">
        <v>18</v>
      </c>
      <c r="C91">
        <v>2445.2249999999999</v>
      </c>
      <c r="D91">
        <v>1544.663</v>
      </c>
      <c r="E91" t="b">
        <f>IF(energia[[#This Row],[Zrodla_wiatrowe]]&gt;C90,TRUE,FALSE)</f>
        <v>1</v>
      </c>
      <c r="F91">
        <f>IF(energia[[#This Row],[Czy wiatr rosło]],F90+1,1)</f>
        <v>7</v>
      </c>
      <c r="G91">
        <v>7726.8</v>
      </c>
      <c r="H91" s="6">
        <f>(energia[[#This Row],[Zrodla_wiatrowe]]+energia[[#This Row],[Zrodla_fotowoltaiczne]])</f>
        <v>3989.8879999999999</v>
      </c>
      <c r="I91" s="6">
        <f>I90+energia[[#This Row],[Łączna produkcja]]-energia[[#This Row],[Zapotrzebowanie]]</f>
        <v>195644.72300000006</v>
      </c>
      <c r="J91" t="b">
        <f>IF(energia[[#This Row],[Magazyn]]&lt;0,TRUE,FALSE)</f>
        <v>0</v>
      </c>
    </row>
    <row r="92" spans="1:10" x14ac:dyDescent="0.3">
      <c r="A92" s="1">
        <v>45386</v>
      </c>
      <c r="B92">
        <v>19</v>
      </c>
      <c r="C92">
        <v>2756.4380000000001</v>
      </c>
      <c r="D92">
        <v>540.16300000000001</v>
      </c>
      <c r="E92" t="b">
        <f>IF(energia[[#This Row],[Zrodla_wiatrowe]]&gt;C91,TRUE,FALSE)</f>
        <v>1</v>
      </c>
      <c r="F92">
        <f>IF(energia[[#This Row],[Czy wiatr rosło]],F91+1,1)</f>
        <v>8</v>
      </c>
      <c r="G92">
        <v>6904.9660000000003</v>
      </c>
      <c r="H92" s="6">
        <f>(energia[[#This Row],[Zrodla_wiatrowe]]+energia[[#This Row],[Zrodla_fotowoltaiczne]])</f>
        <v>3296.6010000000001</v>
      </c>
      <c r="I92" s="6">
        <f>I91+energia[[#This Row],[Łączna produkcja]]-energia[[#This Row],[Zapotrzebowanie]]</f>
        <v>192036.35800000007</v>
      </c>
      <c r="J92" t="b">
        <f>IF(energia[[#This Row],[Magazyn]]&lt;0,TRUE,FALSE)</f>
        <v>0</v>
      </c>
    </row>
    <row r="93" spans="1:10" x14ac:dyDescent="0.3">
      <c r="A93" s="1">
        <v>45386</v>
      </c>
      <c r="B93">
        <v>20</v>
      </c>
      <c r="C93">
        <v>3537.875</v>
      </c>
      <c r="D93">
        <v>97.013000000000005</v>
      </c>
      <c r="E93" t="b">
        <f>IF(energia[[#This Row],[Zrodla_wiatrowe]]&gt;C92,TRUE,FALSE)</f>
        <v>1</v>
      </c>
      <c r="F93">
        <f>IF(energia[[#This Row],[Czy wiatr rosło]],F92+1,1)</f>
        <v>9</v>
      </c>
      <c r="G93">
        <v>6718.0290000000005</v>
      </c>
      <c r="H93" s="6">
        <f>(energia[[#This Row],[Zrodla_wiatrowe]]+energia[[#This Row],[Zrodla_fotowoltaiczne]])</f>
        <v>3634.8879999999999</v>
      </c>
      <c r="I93" s="6">
        <f>I92+energia[[#This Row],[Łączna produkcja]]-energia[[#This Row],[Zapotrzebowanie]]</f>
        <v>188953.21700000006</v>
      </c>
      <c r="J93" t="b">
        <f>IF(energia[[#This Row],[Magazyn]]&lt;0,TRUE,FALSE)</f>
        <v>0</v>
      </c>
    </row>
    <row r="94" spans="1:10" x14ac:dyDescent="0.3">
      <c r="A94" s="1">
        <v>45386</v>
      </c>
      <c r="B94">
        <v>21</v>
      </c>
      <c r="C94">
        <v>4276.8500000000004</v>
      </c>
      <c r="D94">
        <v>0</v>
      </c>
      <c r="E94" t="b">
        <f>IF(energia[[#This Row],[Zrodla_wiatrowe]]&gt;C93,TRUE,FALSE)</f>
        <v>1</v>
      </c>
      <c r="F94">
        <f>IF(energia[[#This Row],[Czy wiatr rosło]],F93+1,1)</f>
        <v>10</v>
      </c>
      <c r="G94">
        <v>5220.0450000000001</v>
      </c>
      <c r="H94" s="6">
        <f>(energia[[#This Row],[Zrodla_wiatrowe]]+energia[[#This Row],[Zrodla_fotowoltaiczne]])</f>
        <v>4276.8500000000004</v>
      </c>
      <c r="I94" s="6">
        <f>I93+energia[[#This Row],[Łączna produkcja]]-energia[[#This Row],[Zapotrzebowanie]]</f>
        <v>188010.02200000006</v>
      </c>
      <c r="J94" t="b">
        <f>IF(energia[[#This Row],[Magazyn]]&lt;0,TRUE,FALSE)</f>
        <v>0</v>
      </c>
    </row>
    <row r="95" spans="1:10" x14ac:dyDescent="0.3">
      <c r="A95" s="1">
        <v>45386</v>
      </c>
      <c r="B95">
        <v>22</v>
      </c>
      <c r="C95">
        <v>4835.1750000000002</v>
      </c>
      <c r="D95">
        <v>0</v>
      </c>
      <c r="E95" t="b">
        <f>IF(energia[[#This Row],[Zrodla_wiatrowe]]&gt;C94,TRUE,FALSE)</f>
        <v>1</v>
      </c>
      <c r="F95">
        <f>IF(energia[[#This Row],[Czy wiatr rosło]],F94+1,1)</f>
        <v>11</v>
      </c>
      <c r="G95">
        <v>5038.5370000000003</v>
      </c>
      <c r="H95" s="6">
        <f>(energia[[#This Row],[Zrodla_wiatrowe]]+energia[[#This Row],[Zrodla_fotowoltaiczne]])</f>
        <v>4835.1750000000002</v>
      </c>
      <c r="I95" s="6">
        <f>I94+energia[[#This Row],[Łączna produkcja]]-energia[[#This Row],[Zapotrzebowanie]]</f>
        <v>187806.66000000003</v>
      </c>
      <c r="J95" t="b">
        <f>IF(energia[[#This Row],[Magazyn]]&lt;0,TRUE,FALSE)</f>
        <v>0</v>
      </c>
    </row>
    <row r="96" spans="1:10" x14ac:dyDescent="0.3">
      <c r="A96" s="1">
        <v>45386</v>
      </c>
      <c r="B96">
        <v>23</v>
      </c>
      <c r="C96">
        <v>5044.7250000000004</v>
      </c>
      <c r="D96">
        <v>0</v>
      </c>
      <c r="E96" t="b">
        <f>IF(energia[[#This Row],[Zrodla_wiatrowe]]&gt;C95,TRUE,FALSE)</f>
        <v>1</v>
      </c>
      <c r="F96">
        <f>IF(energia[[#This Row],[Czy wiatr rosło]],F95+1,1)</f>
        <v>12</v>
      </c>
      <c r="G96">
        <v>3121.44</v>
      </c>
      <c r="H96" s="6">
        <f>(energia[[#This Row],[Zrodla_wiatrowe]]+energia[[#This Row],[Zrodla_fotowoltaiczne]])</f>
        <v>5044.7250000000004</v>
      </c>
      <c r="I96" s="6">
        <f>I95+energia[[#This Row],[Łączna produkcja]]-energia[[#This Row],[Zapotrzebowanie]]</f>
        <v>189729.94500000004</v>
      </c>
      <c r="J96" t="b">
        <f>IF(energia[[#This Row],[Magazyn]]&lt;0,TRUE,FALSE)</f>
        <v>0</v>
      </c>
    </row>
    <row r="97" spans="1:10" x14ac:dyDescent="0.3">
      <c r="A97" s="1">
        <v>45386</v>
      </c>
      <c r="B97">
        <v>24</v>
      </c>
      <c r="C97">
        <v>5564.6750000000002</v>
      </c>
      <c r="D97">
        <v>0</v>
      </c>
      <c r="E97" t="b">
        <f>IF(energia[[#This Row],[Zrodla_wiatrowe]]&gt;C96,TRUE,FALSE)</f>
        <v>1</v>
      </c>
      <c r="F97">
        <f>IF(energia[[#This Row],[Czy wiatr rosło]],F96+1,1)</f>
        <v>13</v>
      </c>
      <c r="G97">
        <v>1832.69</v>
      </c>
      <c r="H97" s="6">
        <f>(energia[[#This Row],[Zrodla_wiatrowe]]+energia[[#This Row],[Zrodla_fotowoltaiczne]])</f>
        <v>5564.6750000000002</v>
      </c>
      <c r="I97" s="6">
        <f>I96+energia[[#This Row],[Łączna produkcja]]-energia[[#This Row],[Zapotrzebowanie]]</f>
        <v>193461.93000000002</v>
      </c>
      <c r="J97" t="b">
        <f>IF(energia[[#This Row],[Magazyn]]&lt;0,TRUE,FALSE)</f>
        <v>0</v>
      </c>
    </row>
    <row r="98" spans="1:10" x14ac:dyDescent="0.3">
      <c r="A98" s="1">
        <v>45387</v>
      </c>
      <c r="B98">
        <v>1</v>
      </c>
      <c r="C98">
        <v>5803.1130000000003</v>
      </c>
      <c r="D98">
        <v>0</v>
      </c>
      <c r="E98" t="b">
        <f>IF(energia[[#This Row],[Zrodla_wiatrowe]]&gt;C97,TRUE,FALSE)</f>
        <v>1</v>
      </c>
      <c r="F98">
        <f>IF(energia[[#This Row],[Czy wiatr rosło]],F97+1,1)</f>
        <v>14</v>
      </c>
      <c r="G98">
        <v>1548.146</v>
      </c>
      <c r="H98" s="6">
        <f>(energia[[#This Row],[Zrodla_wiatrowe]]+energia[[#This Row],[Zrodla_fotowoltaiczne]])</f>
        <v>5803.1130000000003</v>
      </c>
      <c r="I98" s="6">
        <f>I97+energia[[#This Row],[Łączna produkcja]]-energia[[#This Row],[Zapotrzebowanie]]</f>
        <v>197716.89700000003</v>
      </c>
      <c r="J98" t="b">
        <f>IF(energia[[#This Row],[Magazyn]]&lt;0,TRUE,FALSE)</f>
        <v>0</v>
      </c>
    </row>
    <row r="99" spans="1:10" x14ac:dyDescent="0.3">
      <c r="A99" s="1">
        <v>45387</v>
      </c>
      <c r="B99">
        <v>2</v>
      </c>
      <c r="C99">
        <v>5764.2749999999996</v>
      </c>
      <c r="D99">
        <v>0</v>
      </c>
      <c r="E99" t="b">
        <f>IF(energia[[#This Row],[Zrodla_wiatrowe]]&gt;C98,TRUE,FALSE)</f>
        <v>0</v>
      </c>
      <c r="F99">
        <f>IF(energia[[#This Row],[Czy wiatr rosło]],F98+1,1)</f>
        <v>1</v>
      </c>
      <c r="G99">
        <v>1327.3109999999999</v>
      </c>
      <c r="H99" s="6">
        <f>(energia[[#This Row],[Zrodla_wiatrowe]]+energia[[#This Row],[Zrodla_fotowoltaiczne]])</f>
        <v>5764.2749999999996</v>
      </c>
      <c r="I99" s="6">
        <f>I98+energia[[#This Row],[Łączna produkcja]]-energia[[#This Row],[Zapotrzebowanie]]</f>
        <v>202153.86100000003</v>
      </c>
      <c r="J99" t="b">
        <f>IF(energia[[#This Row],[Magazyn]]&lt;0,TRUE,FALSE)</f>
        <v>0</v>
      </c>
    </row>
    <row r="100" spans="1:10" x14ac:dyDescent="0.3">
      <c r="A100" s="1">
        <v>45387</v>
      </c>
      <c r="B100">
        <v>3</v>
      </c>
      <c r="C100">
        <v>5571.0749999999998</v>
      </c>
      <c r="D100">
        <v>0</v>
      </c>
      <c r="E100" t="b">
        <f>IF(energia[[#This Row],[Zrodla_wiatrowe]]&gt;C99,TRUE,FALSE)</f>
        <v>0</v>
      </c>
      <c r="F100">
        <f>IF(energia[[#This Row],[Czy wiatr rosło]],F99+1,1)</f>
        <v>1</v>
      </c>
      <c r="G100">
        <v>1241.4159999999999</v>
      </c>
      <c r="H100" s="6">
        <f>(energia[[#This Row],[Zrodla_wiatrowe]]+energia[[#This Row],[Zrodla_fotowoltaiczne]])</f>
        <v>5571.0749999999998</v>
      </c>
      <c r="I100" s="6">
        <f>I99+energia[[#This Row],[Łączna produkcja]]-energia[[#This Row],[Zapotrzebowanie]]</f>
        <v>206483.52000000005</v>
      </c>
      <c r="J100" t="b">
        <f>IF(energia[[#This Row],[Magazyn]]&lt;0,TRUE,FALSE)</f>
        <v>0</v>
      </c>
    </row>
    <row r="101" spans="1:10" x14ac:dyDescent="0.3">
      <c r="A101" s="1">
        <v>45387</v>
      </c>
      <c r="B101">
        <v>4</v>
      </c>
      <c r="C101">
        <v>5487.2380000000003</v>
      </c>
      <c r="D101">
        <v>0</v>
      </c>
      <c r="E101" t="b">
        <f>IF(energia[[#This Row],[Zrodla_wiatrowe]]&gt;C100,TRUE,FALSE)</f>
        <v>0</v>
      </c>
      <c r="F101">
        <f>IF(energia[[#This Row],[Czy wiatr rosło]],F100+1,1)</f>
        <v>1</v>
      </c>
      <c r="G101">
        <v>1243.961</v>
      </c>
      <c r="H101" s="6">
        <f>(energia[[#This Row],[Zrodla_wiatrowe]]+energia[[#This Row],[Zrodla_fotowoltaiczne]])</f>
        <v>5487.2380000000003</v>
      </c>
      <c r="I101" s="6">
        <f>I100+energia[[#This Row],[Łączna produkcja]]-energia[[#This Row],[Zapotrzebowanie]]</f>
        <v>210726.79700000005</v>
      </c>
      <c r="J101" t="b">
        <f>IF(energia[[#This Row],[Magazyn]]&lt;0,TRUE,FALSE)</f>
        <v>0</v>
      </c>
    </row>
    <row r="102" spans="1:10" x14ac:dyDescent="0.3">
      <c r="A102" s="1">
        <v>45387</v>
      </c>
      <c r="B102">
        <v>5</v>
      </c>
      <c r="C102">
        <v>5289.1629999999996</v>
      </c>
      <c r="D102">
        <v>0</v>
      </c>
      <c r="E102" t="b">
        <f>IF(energia[[#This Row],[Zrodla_wiatrowe]]&gt;C101,TRUE,FALSE)</f>
        <v>0</v>
      </c>
      <c r="F102">
        <f>IF(energia[[#This Row],[Czy wiatr rosło]],F101+1,1)</f>
        <v>1</v>
      </c>
      <c r="G102">
        <v>1864.87</v>
      </c>
      <c r="H102" s="6">
        <f>(energia[[#This Row],[Zrodla_wiatrowe]]+energia[[#This Row],[Zrodla_fotowoltaiczne]])</f>
        <v>5289.1629999999996</v>
      </c>
      <c r="I102" s="6">
        <f>I101+energia[[#This Row],[Łączna produkcja]]-energia[[#This Row],[Zapotrzebowanie]]</f>
        <v>214151.09000000005</v>
      </c>
      <c r="J102" t="b">
        <f>IF(energia[[#This Row],[Magazyn]]&lt;0,TRUE,FALSE)</f>
        <v>0</v>
      </c>
    </row>
    <row r="103" spans="1:10" x14ac:dyDescent="0.3">
      <c r="A103" s="1">
        <v>45387</v>
      </c>
      <c r="B103">
        <v>6</v>
      </c>
      <c r="C103">
        <v>4720.9750000000004</v>
      </c>
      <c r="D103">
        <v>2.6880000000000002</v>
      </c>
      <c r="E103" t="b">
        <f>IF(energia[[#This Row],[Zrodla_wiatrowe]]&gt;C102,TRUE,FALSE)</f>
        <v>0</v>
      </c>
      <c r="F103">
        <f>IF(energia[[#This Row],[Czy wiatr rosło]],F102+1,1)</f>
        <v>1</v>
      </c>
      <c r="G103">
        <v>3088.2869999999998</v>
      </c>
      <c r="H103" s="6">
        <f>(energia[[#This Row],[Zrodla_wiatrowe]]+energia[[#This Row],[Zrodla_fotowoltaiczne]])</f>
        <v>4723.6630000000005</v>
      </c>
      <c r="I103" s="6">
        <f>I102+energia[[#This Row],[Łączna produkcja]]-energia[[#This Row],[Zapotrzebowanie]]</f>
        <v>215786.46600000004</v>
      </c>
      <c r="J103" t="b">
        <f>IF(energia[[#This Row],[Magazyn]]&lt;0,TRUE,FALSE)</f>
        <v>0</v>
      </c>
    </row>
    <row r="104" spans="1:10" x14ac:dyDescent="0.3">
      <c r="A104" s="1">
        <v>45387</v>
      </c>
      <c r="B104">
        <v>7</v>
      </c>
      <c r="C104">
        <v>4460.4880000000003</v>
      </c>
      <c r="D104">
        <v>207.26300000000001</v>
      </c>
      <c r="E104" t="b">
        <f>IF(energia[[#This Row],[Zrodla_wiatrowe]]&gt;C103,TRUE,FALSE)</f>
        <v>0</v>
      </c>
      <c r="F104">
        <f>IF(energia[[#This Row],[Czy wiatr rosło]],F103+1,1)</f>
        <v>1</v>
      </c>
      <c r="G104">
        <v>4206.973</v>
      </c>
      <c r="H104" s="6">
        <f>(energia[[#This Row],[Zrodla_wiatrowe]]+energia[[#This Row],[Zrodla_fotowoltaiczne]])</f>
        <v>4667.7510000000002</v>
      </c>
      <c r="I104" s="6">
        <f>I103+energia[[#This Row],[Łączna produkcja]]-energia[[#This Row],[Zapotrzebowanie]]</f>
        <v>216247.24400000004</v>
      </c>
      <c r="J104" t="b">
        <f>IF(energia[[#This Row],[Magazyn]]&lt;0,TRUE,FALSE)</f>
        <v>0</v>
      </c>
    </row>
    <row r="105" spans="1:10" x14ac:dyDescent="0.3">
      <c r="A105" s="1">
        <v>45387</v>
      </c>
      <c r="B105">
        <v>8</v>
      </c>
      <c r="C105">
        <v>4055.7249999999999</v>
      </c>
      <c r="D105">
        <v>1171.5999999999999</v>
      </c>
      <c r="E105" t="b">
        <f>IF(energia[[#This Row],[Zrodla_wiatrowe]]&gt;C104,TRUE,FALSE)</f>
        <v>0</v>
      </c>
      <c r="F105">
        <f>IF(energia[[#This Row],[Czy wiatr rosło]],F104+1,1)</f>
        <v>1</v>
      </c>
      <c r="G105">
        <v>6222.74</v>
      </c>
      <c r="H105" s="6">
        <f>(energia[[#This Row],[Zrodla_wiatrowe]]+energia[[#This Row],[Zrodla_fotowoltaiczne]])</f>
        <v>5227.3249999999998</v>
      </c>
      <c r="I105" s="6">
        <f>I104+energia[[#This Row],[Łączna produkcja]]-energia[[#This Row],[Zapotrzebowanie]]</f>
        <v>215251.82900000006</v>
      </c>
      <c r="J105" t="b">
        <f>IF(energia[[#This Row],[Magazyn]]&lt;0,TRUE,FALSE)</f>
        <v>0</v>
      </c>
    </row>
    <row r="106" spans="1:10" x14ac:dyDescent="0.3">
      <c r="A106" s="1">
        <v>45387</v>
      </c>
      <c r="B106">
        <v>9</v>
      </c>
      <c r="C106">
        <v>3390.5880000000002</v>
      </c>
      <c r="D106">
        <v>2805.5250000000001</v>
      </c>
      <c r="E106" t="b">
        <f>IF(energia[[#This Row],[Zrodla_wiatrowe]]&gt;C105,TRUE,FALSE)</f>
        <v>0</v>
      </c>
      <c r="F106">
        <f>IF(energia[[#This Row],[Czy wiatr rosło]],F105+1,1)</f>
        <v>1</v>
      </c>
      <c r="G106">
        <v>6969.4639999999999</v>
      </c>
      <c r="H106" s="6">
        <f>(energia[[#This Row],[Zrodla_wiatrowe]]+energia[[#This Row],[Zrodla_fotowoltaiczne]])</f>
        <v>6196.1130000000003</v>
      </c>
      <c r="I106" s="6">
        <f>I105+energia[[#This Row],[Łączna produkcja]]-energia[[#This Row],[Zapotrzebowanie]]</f>
        <v>214478.47800000006</v>
      </c>
      <c r="J106" t="b">
        <f>IF(energia[[#This Row],[Magazyn]]&lt;0,TRUE,FALSE)</f>
        <v>0</v>
      </c>
    </row>
    <row r="107" spans="1:10" x14ac:dyDescent="0.3">
      <c r="A107" s="1">
        <v>45387</v>
      </c>
      <c r="B107">
        <v>10</v>
      </c>
      <c r="C107">
        <v>3101.2249999999999</v>
      </c>
      <c r="D107">
        <v>4478.6379999999999</v>
      </c>
      <c r="E107" t="b">
        <f>IF(energia[[#This Row],[Zrodla_wiatrowe]]&gt;C106,TRUE,FALSE)</f>
        <v>0</v>
      </c>
      <c r="F107">
        <f>IF(energia[[#This Row],[Czy wiatr rosło]],F106+1,1)</f>
        <v>1</v>
      </c>
      <c r="G107">
        <v>7778.7529999999997</v>
      </c>
      <c r="H107" s="6">
        <f>(energia[[#This Row],[Zrodla_wiatrowe]]+energia[[#This Row],[Zrodla_fotowoltaiczne]])</f>
        <v>7579.8629999999994</v>
      </c>
      <c r="I107" s="6">
        <f>I106+energia[[#This Row],[Łączna produkcja]]-energia[[#This Row],[Zapotrzebowanie]]</f>
        <v>214279.58800000008</v>
      </c>
      <c r="J107" t="b">
        <f>IF(energia[[#This Row],[Magazyn]]&lt;0,TRUE,FALSE)</f>
        <v>0</v>
      </c>
    </row>
    <row r="108" spans="1:10" x14ac:dyDescent="0.3">
      <c r="A108" s="1">
        <v>45387</v>
      </c>
      <c r="B108">
        <v>11</v>
      </c>
      <c r="C108">
        <v>2969.0630000000001</v>
      </c>
      <c r="D108">
        <v>6019.9129999999996</v>
      </c>
      <c r="E108" t="b">
        <f>IF(energia[[#This Row],[Zrodla_wiatrowe]]&gt;C107,TRUE,FALSE)</f>
        <v>0</v>
      </c>
      <c r="F108">
        <f>IF(energia[[#This Row],[Czy wiatr rosło]],F107+1,1)</f>
        <v>1</v>
      </c>
      <c r="G108">
        <v>7756.8980000000001</v>
      </c>
      <c r="H108" s="6">
        <f>(energia[[#This Row],[Zrodla_wiatrowe]]+energia[[#This Row],[Zrodla_fotowoltaiczne]])</f>
        <v>8988.9759999999987</v>
      </c>
      <c r="I108" s="6">
        <f>I107+energia[[#This Row],[Łączna produkcja]]-energia[[#This Row],[Zapotrzebowanie]]</f>
        <v>215511.66600000008</v>
      </c>
      <c r="J108" t="b">
        <f>IF(energia[[#This Row],[Magazyn]]&lt;0,TRUE,FALSE)</f>
        <v>0</v>
      </c>
    </row>
    <row r="109" spans="1:10" x14ac:dyDescent="0.3">
      <c r="A109" s="1">
        <v>45387</v>
      </c>
      <c r="B109">
        <v>12</v>
      </c>
      <c r="C109">
        <v>3016.9749999999999</v>
      </c>
      <c r="D109">
        <v>6657.3249999999998</v>
      </c>
      <c r="E109" t="b">
        <f>IF(energia[[#This Row],[Zrodla_wiatrowe]]&gt;C108,TRUE,FALSE)</f>
        <v>1</v>
      </c>
      <c r="F109">
        <f>IF(energia[[#This Row],[Czy wiatr rosło]],F108+1,1)</f>
        <v>2</v>
      </c>
      <c r="G109">
        <v>7885.8040000000001</v>
      </c>
      <c r="H109" s="6">
        <f>(energia[[#This Row],[Zrodla_wiatrowe]]+energia[[#This Row],[Zrodla_fotowoltaiczne]])</f>
        <v>9674.2999999999993</v>
      </c>
      <c r="I109" s="6">
        <f>I108+energia[[#This Row],[Łączna produkcja]]-energia[[#This Row],[Zapotrzebowanie]]</f>
        <v>217300.16200000007</v>
      </c>
      <c r="J109" t="b">
        <f>IF(energia[[#This Row],[Magazyn]]&lt;0,TRUE,FALSE)</f>
        <v>0</v>
      </c>
    </row>
    <row r="110" spans="1:10" x14ac:dyDescent="0.3">
      <c r="A110" s="1">
        <v>45387</v>
      </c>
      <c r="B110">
        <v>13</v>
      </c>
      <c r="C110">
        <v>3085.65</v>
      </c>
      <c r="D110">
        <v>6455.375</v>
      </c>
      <c r="E110" t="b">
        <f>IF(energia[[#This Row],[Zrodla_wiatrowe]]&gt;C109,TRUE,FALSE)</f>
        <v>1</v>
      </c>
      <c r="F110">
        <f>IF(energia[[#This Row],[Czy wiatr rosło]],F109+1,1)</f>
        <v>3</v>
      </c>
      <c r="G110">
        <v>8215.3809999999994</v>
      </c>
      <c r="H110" s="6">
        <f>(energia[[#This Row],[Zrodla_wiatrowe]]+energia[[#This Row],[Zrodla_fotowoltaiczne]])</f>
        <v>9541.0249999999996</v>
      </c>
      <c r="I110" s="6">
        <f>I109+energia[[#This Row],[Łączna produkcja]]-energia[[#This Row],[Zapotrzebowanie]]</f>
        <v>218625.80600000007</v>
      </c>
      <c r="J110" t="b">
        <f>IF(energia[[#This Row],[Magazyn]]&lt;0,TRUE,FALSE)</f>
        <v>0</v>
      </c>
    </row>
    <row r="111" spans="1:10" x14ac:dyDescent="0.3">
      <c r="A111" s="1">
        <v>45387</v>
      </c>
      <c r="B111">
        <v>14</v>
      </c>
      <c r="C111">
        <v>3147</v>
      </c>
      <c r="D111">
        <v>6064.8</v>
      </c>
      <c r="E111" t="b">
        <f>IF(energia[[#This Row],[Zrodla_wiatrowe]]&gt;C110,TRUE,FALSE)</f>
        <v>1</v>
      </c>
      <c r="F111">
        <f>IF(energia[[#This Row],[Czy wiatr rosło]],F110+1,1)</f>
        <v>4</v>
      </c>
      <c r="G111">
        <v>7761.3919999999998</v>
      </c>
      <c r="H111" s="6">
        <f>(energia[[#This Row],[Zrodla_wiatrowe]]+energia[[#This Row],[Zrodla_fotowoltaiczne]])</f>
        <v>9211.7999999999993</v>
      </c>
      <c r="I111" s="6">
        <f>I110+energia[[#This Row],[Łączna produkcja]]-energia[[#This Row],[Zapotrzebowanie]]</f>
        <v>220076.21400000007</v>
      </c>
      <c r="J111" t="b">
        <f>IF(energia[[#This Row],[Magazyn]]&lt;0,TRUE,FALSE)</f>
        <v>0</v>
      </c>
    </row>
    <row r="112" spans="1:10" x14ac:dyDescent="0.3">
      <c r="A112" s="1">
        <v>45387</v>
      </c>
      <c r="B112">
        <v>15</v>
      </c>
      <c r="C112">
        <v>2894.8249999999998</v>
      </c>
      <c r="D112">
        <v>5635.875</v>
      </c>
      <c r="E112" t="b">
        <f>IF(energia[[#This Row],[Zrodla_wiatrowe]]&gt;C111,TRUE,FALSE)</f>
        <v>0</v>
      </c>
      <c r="F112">
        <f>IF(energia[[#This Row],[Czy wiatr rosło]],F111+1,1)</f>
        <v>1</v>
      </c>
      <c r="G112">
        <v>8001.2290000000003</v>
      </c>
      <c r="H112" s="6">
        <f>(energia[[#This Row],[Zrodla_wiatrowe]]+energia[[#This Row],[Zrodla_fotowoltaiczne]])</f>
        <v>8530.7000000000007</v>
      </c>
      <c r="I112" s="6">
        <f>I111+energia[[#This Row],[Łączna produkcja]]-energia[[#This Row],[Zapotrzebowanie]]</f>
        <v>220605.68500000008</v>
      </c>
      <c r="J112" t="b">
        <f>IF(energia[[#This Row],[Magazyn]]&lt;0,TRUE,FALSE)</f>
        <v>0</v>
      </c>
    </row>
    <row r="113" spans="1:10" x14ac:dyDescent="0.3">
      <c r="A113" s="1">
        <v>45387</v>
      </c>
      <c r="B113">
        <v>16</v>
      </c>
      <c r="C113">
        <v>2652.625</v>
      </c>
      <c r="D113">
        <v>5442.65</v>
      </c>
      <c r="E113" t="b">
        <f>IF(energia[[#This Row],[Zrodla_wiatrowe]]&gt;C112,TRUE,FALSE)</f>
        <v>0</v>
      </c>
      <c r="F113">
        <f>IF(energia[[#This Row],[Czy wiatr rosło]],F112+1,1)</f>
        <v>1</v>
      </c>
      <c r="G113">
        <v>8058.2219999999998</v>
      </c>
      <c r="H113" s="6">
        <f>(energia[[#This Row],[Zrodla_wiatrowe]]+energia[[#This Row],[Zrodla_fotowoltaiczne]])</f>
        <v>8095.2749999999996</v>
      </c>
      <c r="I113" s="6">
        <f>I112+energia[[#This Row],[Łączna produkcja]]-energia[[#This Row],[Zapotrzebowanie]]</f>
        <v>220642.73800000007</v>
      </c>
      <c r="J113" t="b">
        <f>IF(energia[[#This Row],[Magazyn]]&lt;0,TRUE,FALSE)</f>
        <v>0</v>
      </c>
    </row>
    <row r="114" spans="1:10" x14ac:dyDescent="0.3">
      <c r="A114" s="1">
        <v>45387</v>
      </c>
      <c r="B114">
        <v>17</v>
      </c>
      <c r="C114">
        <v>2686.5630000000001</v>
      </c>
      <c r="D114">
        <v>4334.0749999999998</v>
      </c>
      <c r="E114" t="b">
        <f>IF(energia[[#This Row],[Zrodla_wiatrowe]]&gt;C113,TRUE,FALSE)</f>
        <v>1</v>
      </c>
      <c r="F114">
        <f>IF(energia[[#This Row],[Czy wiatr rosło]],F113+1,1)</f>
        <v>2</v>
      </c>
      <c r="G114">
        <v>7775.7790000000005</v>
      </c>
      <c r="H114" s="6">
        <f>(energia[[#This Row],[Zrodla_wiatrowe]]+energia[[#This Row],[Zrodla_fotowoltaiczne]])</f>
        <v>7020.6379999999999</v>
      </c>
      <c r="I114" s="6">
        <f>I113+energia[[#This Row],[Łączna produkcja]]-energia[[#This Row],[Zapotrzebowanie]]</f>
        <v>219887.59700000007</v>
      </c>
      <c r="J114" t="b">
        <f>IF(energia[[#This Row],[Magazyn]]&lt;0,TRUE,FALSE)</f>
        <v>0</v>
      </c>
    </row>
    <row r="115" spans="1:10" x14ac:dyDescent="0.3">
      <c r="A115" s="1">
        <v>45387</v>
      </c>
      <c r="B115">
        <v>18</v>
      </c>
      <c r="C115">
        <v>2823.8879999999999</v>
      </c>
      <c r="D115">
        <v>2446.5129999999999</v>
      </c>
      <c r="E115" t="b">
        <f>IF(energia[[#This Row],[Zrodla_wiatrowe]]&gt;C114,TRUE,FALSE)</f>
        <v>1</v>
      </c>
      <c r="F115">
        <f>IF(energia[[#This Row],[Czy wiatr rosło]],F114+1,1)</f>
        <v>3</v>
      </c>
      <c r="G115">
        <v>7139.5069999999996</v>
      </c>
      <c r="H115" s="6">
        <f>(energia[[#This Row],[Zrodla_wiatrowe]]+energia[[#This Row],[Zrodla_fotowoltaiczne]])</f>
        <v>5270.4009999999998</v>
      </c>
      <c r="I115" s="6">
        <f>I114+energia[[#This Row],[Łączna produkcja]]-energia[[#This Row],[Zapotrzebowanie]]</f>
        <v>218018.49100000007</v>
      </c>
      <c r="J115" t="b">
        <f>IF(energia[[#This Row],[Magazyn]]&lt;0,TRUE,FALSE)</f>
        <v>0</v>
      </c>
    </row>
    <row r="116" spans="1:10" x14ac:dyDescent="0.3">
      <c r="A116" s="1">
        <v>45387</v>
      </c>
      <c r="B116">
        <v>19</v>
      </c>
      <c r="C116">
        <v>3079.1</v>
      </c>
      <c r="D116">
        <v>770</v>
      </c>
      <c r="E116" t="b">
        <f>IF(energia[[#This Row],[Zrodla_wiatrowe]]&gt;C115,TRUE,FALSE)</f>
        <v>1</v>
      </c>
      <c r="F116">
        <f>IF(energia[[#This Row],[Czy wiatr rosło]],F115+1,1)</f>
        <v>4</v>
      </c>
      <c r="G116">
        <v>6380.1379999999999</v>
      </c>
      <c r="H116" s="6">
        <f>(energia[[#This Row],[Zrodla_wiatrowe]]+energia[[#This Row],[Zrodla_fotowoltaiczne]])</f>
        <v>3849.1</v>
      </c>
      <c r="I116" s="6">
        <f>I115+energia[[#This Row],[Łączna produkcja]]-energia[[#This Row],[Zapotrzebowanie]]</f>
        <v>215487.45300000007</v>
      </c>
      <c r="J116" t="b">
        <f>IF(energia[[#This Row],[Magazyn]]&lt;0,TRUE,FALSE)</f>
        <v>0</v>
      </c>
    </row>
    <row r="117" spans="1:10" x14ac:dyDescent="0.3">
      <c r="A117" s="1">
        <v>45387</v>
      </c>
      <c r="B117">
        <v>20</v>
      </c>
      <c r="C117">
        <v>3840.15</v>
      </c>
      <c r="D117">
        <v>128.93799999999999</v>
      </c>
      <c r="E117" t="b">
        <f>IF(energia[[#This Row],[Zrodla_wiatrowe]]&gt;C116,TRUE,FALSE)</f>
        <v>1</v>
      </c>
      <c r="F117">
        <f>IF(energia[[#This Row],[Czy wiatr rosło]],F116+1,1)</f>
        <v>5</v>
      </c>
      <c r="G117">
        <v>6207.41</v>
      </c>
      <c r="H117" s="6">
        <f>(energia[[#This Row],[Zrodla_wiatrowe]]+energia[[#This Row],[Zrodla_fotowoltaiczne]])</f>
        <v>3969.0880000000002</v>
      </c>
      <c r="I117" s="6">
        <f>I116+energia[[#This Row],[Łączna produkcja]]-energia[[#This Row],[Zapotrzebowanie]]</f>
        <v>213249.13100000005</v>
      </c>
      <c r="J117" t="b">
        <f>IF(energia[[#This Row],[Magazyn]]&lt;0,TRUE,FALSE)</f>
        <v>0</v>
      </c>
    </row>
    <row r="118" spans="1:10" x14ac:dyDescent="0.3">
      <c r="A118" s="1">
        <v>45387</v>
      </c>
      <c r="B118">
        <v>21</v>
      </c>
      <c r="C118">
        <v>4883.0379999999996</v>
      </c>
      <c r="D118">
        <v>0</v>
      </c>
      <c r="E118" t="b">
        <f>IF(energia[[#This Row],[Zrodla_wiatrowe]]&gt;C117,TRUE,FALSE)</f>
        <v>1</v>
      </c>
      <c r="F118">
        <f>IF(energia[[#This Row],[Czy wiatr rosło]],F117+1,1)</f>
        <v>6</v>
      </c>
      <c r="G118">
        <v>4823.2830000000004</v>
      </c>
      <c r="H118" s="6">
        <f>(energia[[#This Row],[Zrodla_wiatrowe]]+energia[[#This Row],[Zrodla_fotowoltaiczne]])</f>
        <v>4883.0379999999996</v>
      </c>
      <c r="I118" s="6">
        <f>I117+energia[[#This Row],[Łączna produkcja]]-energia[[#This Row],[Zapotrzebowanie]]</f>
        <v>213308.88600000006</v>
      </c>
      <c r="J118" t="b">
        <f>IF(energia[[#This Row],[Magazyn]]&lt;0,TRUE,FALSE)</f>
        <v>0</v>
      </c>
    </row>
    <row r="119" spans="1:10" x14ac:dyDescent="0.3">
      <c r="A119" s="1">
        <v>45387</v>
      </c>
      <c r="B119">
        <v>22</v>
      </c>
      <c r="C119">
        <v>5978.1379999999999</v>
      </c>
      <c r="D119">
        <v>0</v>
      </c>
      <c r="E119" t="b">
        <f>IF(energia[[#This Row],[Zrodla_wiatrowe]]&gt;C118,TRUE,FALSE)</f>
        <v>1</v>
      </c>
      <c r="F119">
        <f>IF(energia[[#This Row],[Czy wiatr rosło]],F118+1,1)</f>
        <v>7</v>
      </c>
      <c r="G119">
        <v>4655.5709999999999</v>
      </c>
      <c r="H119" s="6">
        <f>(energia[[#This Row],[Zrodla_wiatrowe]]+energia[[#This Row],[Zrodla_fotowoltaiczne]])</f>
        <v>5978.1379999999999</v>
      </c>
      <c r="I119" s="6">
        <f>I118+energia[[#This Row],[Łączna produkcja]]-energia[[#This Row],[Zapotrzebowanie]]</f>
        <v>214631.45300000007</v>
      </c>
      <c r="J119" t="b">
        <f>IF(energia[[#This Row],[Magazyn]]&lt;0,TRUE,FALSE)</f>
        <v>0</v>
      </c>
    </row>
    <row r="120" spans="1:10" x14ac:dyDescent="0.3">
      <c r="A120" s="1">
        <v>45387</v>
      </c>
      <c r="B120">
        <v>23</v>
      </c>
      <c r="C120">
        <v>6598.9129999999996</v>
      </c>
      <c r="D120">
        <v>0</v>
      </c>
      <c r="E120" t="b">
        <f>IF(energia[[#This Row],[Zrodla_wiatrowe]]&gt;C119,TRUE,FALSE)</f>
        <v>1</v>
      </c>
      <c r="F120">
        <f>IF(energia[[#This Row],[Czy wiatr rosło]],F119+1,1)</f>
        <v>8</v>
      </c>
      <c r="G120">
        <v>2884.1880000000001</v>
      </c>
      <c r="H120" s="6">
        <f>(energia[[#This Row],[Zrodla_wiatrowe]]+energia[[#This Row],[Zrodla_fotowoltaiczne]])</f>
        <v>6598.9129999999996</v>
      </c>
      <c r="I120" s="6">
        <f>I119+energia[[#This Row],[Łączna produkcja]]-energia[[#This Row],[Zapotrzebowanie]]</f>
        <v>218346.17800000007</v>
      </c>
      <c r="J120" t="b">
        <f>IF(energia[[#This Row],[Magazyn]]&lt;0,TRUE,FALSE)</f>
        <v>0</v>
      </c>
    </row>
    <row r="121" spans="1:10" x14ac:dyDescent="0.3">
      <c r="A121" s="1">
        <v>45387</v>
      </c>
      <c r="B121">
        <v>24</v>
      </c>
      <c r="C121">
        <v>6643.1130000000003</v>
      </c>
      <c r="D121">
        <v>0</v>
      </c>
      <c r="E121" t="b">
        <f>IF(energia[[#This Row],[Zrodla_wiatrowe]]&gt;C120,TRUE,FALSE)</f>
        <v>1</v>
      </c>
      <c r="F121">
        <f>IF(energia[[#This Row],[Czy wiatr rosło]],F120+1,1)</f>
        <v>9</v>
      </c>
      <c r="G121">
        <v>1693.393</v>
      </c>
      <c r="H121" s="6">
        <f>(energia[[#This Row],[Zrodla_wiatrowe]]+energia[[#This Row],[Zrodla_fotowoltaiczne]])</f>
        <v>6643.1130000000003</v>
      </c>
      <c r="I121" s="6">
        <f>I120+energia[[#This Row],[Łączna produkcja]]-energia[[#This Row],[Zapotrzebowanie]]</f>
        <v>223295.89800000007</v>
      </c>
      <c r="J121" t="b">
        <f>IF(energia[[#This Row],[Magazyn]]&lt;0,TRUE,FALSE)</f>
        <v>0</v>
      </c>
    </row>
    <row r="122" spans="1:10" x14ac:dyDescent="0.3">
      <c r="A122" s="1">
        <v>45388</v>
      </c>
      <c r="B122">
        <v>1</v>
      </c>
      <c r="C122">
        <v>6379.6750000000002</v>
      </c>
      <c r="D122">
        <v>0</v>
      </c>
      <c r="E122" t="b">
        <f>IF(energia[[#This Row],[Zrodla_wiatrowe]]&gt;C121,TRUE,FALSE)</f>
        <v>0</v>
      </c>
      <c r="F122">
        <f>IF(energia[[#This Row],[Czy wiatr rosło]],F121+1,1)</f>
        <v>1</v>
      </c>
      <c r="G122">
        <v>1482.1690000000001</v>
      </c>
      <c r="H122" s="6">
        <f>(energia[[#This Row],[Zrodla_wiatrowe]]+energia[[#This Row],[Zrodla_fotowoltaiczne]])</f>
        <v>6379.6750000000002</v>
      </c>
      <c r="I122" s="6">
        <f>I121+energia[[#This Row],[Łączna produkcja]]-energia[[#This Row],[Zapotrzebowanie]]</f>
        <v>228193.40400000007</v>
      </c>
      <c r="J122" t="b">
        <f>IF(energia[[#This Row],[Magazyn]]&lt;0,TRUE,FALSE)</f>
        <v>0</v>
      </c>
    </row>
    <row r="123" spans="1:10" x14ac:dyDescent="0.3">
      <c r="A123" s="1">
        <v>45388</v>
      </c>
      <c r="B123">
        <v>2</v>
      </c>
      <c r="C123">
        <v>6134.5129999999999</v>
      </c>
      <c r="D123">
        <v>0</v>
      </c>
      <c r="E123" t="b">
        <f>IF(energia[[#This Row],[Zrodla_wiatrowe]]&gt;C122,TRUE,FALSE)</f>
        <v>0</v>
      </c>
      <c r="F123">
        <f>IF(energia[[#This Row],[Czy wiatr rosło]],F122+1,1)</f>
        <v>1</v>
      </c>
      <c r="G123">
        <v>1270.7460000000001</v>
      </c>
      <c r="H123" s="6">
        <f>(energia[[#This Row],[Zrodla_wiatrowe]]+energia[[#This Row],[Zrodla_fotowoltaiczne]])</f>
        <v>6134.5129999999999</v>
      </c>
      <c r="I123" s="6">
        <f>I122+energia[[#This Row],[Łączna produkcja]]-energia[[#This Row],[Zapotrzebowanie]]</f>
        <v>233057.17100000006</v>
      </c>
      <c r="J123" t="b">
        <f>IF(energia[[#This Row],[Magazyn]]&lt;0,TRUE,FALSE)</f>
        <v>0</v>
      </c>
    </row>
    <row r="124" spans="1:10" x14ac:dyDescent="0.3">
      <c r="A124" s="1">
        <v>45388</v>
      </c>
      <c r="B124">
        <v>3</v>
      </c>
      <c r="C124">
        <v>5890.1</v>
      </c>
      <c r="D124">
        <v>0</v>
      </c>
      <c r="E124" t="b">
        <f>IF(energia[[#This Row],[Zrodla_wiatrowe]]&gt;C123,TRUE,FALSE)</f>
        <v>0</v>
      </c>
      <c r="F124">
        <f>IF(energia[[#This Row],[Czy wiatr rosło]],F123+1,1)</f>
        <v>1</v>
      </c>
      <c r="G124">
        <v>1188.511</v>
      </c>
      <c r="H124" s="6">
        <f>(energia[[#This Row],[Zrodla_wiatrowe]]+energia[[#This Row],[Zrodla_fotowoltaiczne]])</f>
        <v>5890.1</v>
      </c>
      <c r="I124" s="6">
        <f>I123+energia[[#This Row],[Łączna produkcja]]-energia[[#This Row],[Zapotrzebowanie]]</f>
        <v>237758.76000000007</v>
      </c>
      <c r="J124" t="b">
        <f>IF(energia[[#This Row],[Magazyn]]&lt;0,TRUE,FALSE)</f>
        <v>0</v>
      </c>
    </row>
    <row r="125" spans="1:10" x14ac:dyDescent="0.3">
      <c r="A125" s="1">
        <v>45388</v>
      </c>
      <c r="B125">
        <v>4</v>
      </c>
      <c r="C125">
        <v>5587.5249999999996</v>
      </c>
      <c r="D125">
        <v>0</v>
      </c>
      <c r="E125" t="b">
        <f>IF(energia[[#This Row],[Zrodla_wiatrowe]]&gt;C124,TRUE,FALSE)</f>
        <v>0</v>
      </c>
      <c r="F125">
        <f>IF(energia[[#This Row],[Czy wiatr rosło]],F124+1,1)</f>
        <v>1</v>
      </c>
      <c r="G125">
        <v>1190.9469999999999</v>
      </c>
      <c r="H125" s="6">
        <f>(energia[[#This Row],[Zrodla_wiatrowe]]+energia[[#This Row],[Zrodla_fotowoltaiczne]])</f>
        <v>5587.5249999999996</v>
      </c>
      <c r="I125" s="6">
        <f>I124+energia[[#This Row],[Łączna produkcja]]-energia[[#This Row],[Zapotrzebowanie]]</f>
        <v>242155.33800000008</v>
      </c>
      <c r="J125" t="b">
        <f>IF(energia[[#This Row],[Magazyn]]&lt;0,TRUE,FALSE)</f>
        <v>0</v>
      </c>
    </row>
    <row r="126" spans="1:10" x14ac:dyDescent="0.3">
      <c r="A126" s="1">
        <v>45388</v>
      </c>
      <c r="B126">
        <v>5</v>
      </c>
      <c r="C126">
        <v>5163.8999999999996</v>
      </c>
      <c r="D126">
        <v>0</v>
      </c>
      <c r="E126" t="b">
        <f>IF(energia[[#This Row],[Zrodla_wiatrowe]]&gt;C125,TRUE,FALSE)</f>
        <v>0</v>
      </c>
      <c r="F126">
        <f>IF(energia[[#This Row],[Czy wiatr rosło]],F125+1,1)</f>
        <v>1</v>
      </c>
      <c r="G126">
        <v>1785.396</v>
      </c>
      <c r="H126" s="6">
        <f>(energia[[#This Row],[Zrodla_wiatrowe]]+energia[[#This Row],[Zrodla_fotowoltaiczne]])</f>
        <v>5163.8999999999996</v>
      </c>
      <c r="I126" s="6">
        <f>I125+energia[[#This Row],[Łączna produkcja]]-energia[[#This Row],[Zapotrzebowanie]]</f>
        <v>245533.84200000006</v>
      </c>
      <c r="J126" t="b">
        <f>IF(energia[[#This Row],[Magazyn]]&lt;0,TRUE,FALSE)</f>
        <v>0</v>
      </c>
    </row>
    <row r="127" spans="1:10" x14ac:dyDescent="0.3">
      <c r="A127" s="1">
        <v>45388</v>
      </c>
      <c r="B127">
        <v>6</v>
      </c>
      <c r="C127">
        <v>5173.3879999999999</v>
      </c>
      <c r="D127">
        <v>10.95</v>
      </c>
      <c r="E127" t="b">
        <f>IF(energia[[#This Row],[Zrodla_wiatrowe]]&gt;C126,TRUE,FALSE)</f>
        <v>1</v>
      </c>
      <c r="F127">
        <f>IF(energia[[#This Row],[Czy wiatr rosło]],F126+1,1)</f>
        <v>2</v>
      </c>
      <c r="G127">
        <v>2956.6750000000002</v>
      </c>
      <c r="H127" s="6">
        <f>(energia[[#This Row],[Zrodla_wiatrowe]]+energia[[#This Row],[Zrodla_fotowoltaiczne]])</f>
        <v>5184.3379999999997</v>
      </c>
      <c r="I127" s="6">
        <f>I126+energia[[#This Row],[Łączna produkcja]]-energia[[#This Row],[Zapotrzebowanie]]</f>
        <v>247761.50500000006</v>
      </c>
      <c r="J127" t="b">
        <f>IF(energia[[#This Row],[Magazyn]]&lt;0,TRUE,FALSE)</f>
        <v>0</v>
      </c>
    </row>
    <row r="128" spans="1:10" x14ac:dyDescent="0.3">
      <c r="A128" s="1">
        <v>45388</v>
      </c>
      <c r="B128">
        <v>7</v>
      </c>
      <c r="C128">
        <v>5060.5630000000001</v>
      </c>
      <c r="D128">
        <v>302.375</v>
      </c>
      <c r="E128" t="b">
        <f>IF(energia[[#This Row],[Zrodla_wiatrowe]]&gt;C127,TRUE,FALSE)</f>
        <v>0</v>
      </c>
      <c r="F128">
        <f>IF(energia[[#This Row],[Czy wiatr rosło]],F127+1,1)</f>
        <v>1</v>
      </c>
      <c r="G128">
        <v>4027.6860000000001</v>
      </c>
      <c r="H128" s="6">
        <f>(energia[[#This Row],[Zrodla_wiatrowe]]+energia[[#This Row],[Zrodla_fotowoltaiczne]])</f>
        <v>5362.9380000000001</v>
      </c>
      <c r="I128" s="6">
        <f>I127+energia[[#This Row],[Łączna produkcja]]-energia[[#This Row],[Zapotrzebowanie]]</f>
        <v>249096.75700000007</v>
      </c>
      <c r="J128" t="b">
        <f>IF(energia[[#This Row],[Magazyn]]&lt;0,TRUE,FALSE)</f>
        <v>0</v>
      </c>
    </row>
    <row r="129" spans="1:10" x14ac:dyDescent="0.3">
      <c r="A129" s="1">
        <v>45388</v>
      </c>
      <c r="B129">
        <v>8</v>
      </c>
      <c r="C129">
        <v>4595.5879999999997</v>
      </c>
      <c r="D129">
        <v>1375.088</v>
      </c>
      <c r="E129" t="b">
        <f>IF(energia[[#This Row],[Zrodla_wiatrowe]]&gt;C128,TRUE,FALSE)</f>
        <v>0</v>
      </c>
      <c r="F129">
        <f>IF(energia[[#This Row],[Czy wiatr rosło]],F128+1,1)</f>
        <v>1</v>
      </c>
      <c r="G129">
        <v>5957.549</v>
      </c>
      <c r="H129" s="6">
        <f>(energia[[#This Row],[Zrodla_wiatrowe]]+energia[[#This Row],[Zrodla_fotowoltaiczne]])</f>
        <v>5970.6759999999995</v>
      </c>
      <c r="I129" s="6">
        <f>I128+energia[[#This Row],[Łączna produkcja]]-energia[[#This Row],[Zapotrzebowanie]]</f>
        <v>249109.88400000008</v>
      </c>
      <c r="J129" t="b">
        <f>IF(energia[[#This Row],[Magazyn]]&lt;0,TRUE,FALSE)</f>
        <v>0</v>
      </c>
    </row>
    <row r="130" spans="1:10" x14ac:dyDescent="0.3">
      <c r="A130" s="1">
        <v>45388</v>
      </c>
      <c r="B130">
        <v>9</v>
      </c>
      <c r="C130">
        <v>4078.0880000000002</v>
      </c>
      <c r="D130">
        <v>3297.1379999999999</v>
      </c>
      <c r="E130" t="b">
        <f>IF(energia[[#This Row],[Zrodla_wiatrowe]]&gt;C129,TRUE,FALSE)</f>
        <v>0</v>
      </c>
      <c r="F130">
        <f>IF(energia[[#This Row],[Czy wiatr rosło]],F129+1,1)</f>
        <v>1</v>
      </c>
      <c r="G130">
        <v>6672.45</v>
      </c>
      <c r="H130" s="6">
        <f>(energia[[#This Row],[Zrodla_wiatrowe]]+energia[[#This Row],[Zrodla_fotowoltaiczne]])</f>
        <v>7375.2260000000006</v>
      </c>
      <c r="I130" s="6">
        <f>I129+energia[[#This Row],[Łączna produkcja]]-energia[[#This Row],[Zapotrzebowanie]]</f>
        <v>249812.66000000006</v>
      </c>
      <c r="J130" t="b">
        <f>IF(energia[[#This Row],[Magazyn]]&lt;0,TRUE,FALSE)</f>
        <v>0</v>
      </c>
    </row>
    <row r="131" spans="1:10" x14ac:dyDescent="0.3">
      <c r="A131" s="1">
        <v>45388</v>
      </c>
      <c r="B131">
        <v>10</v>
      </c>
      <c r="C131">
        <v>3480.3879999999999</v>
      </c>
      <c r="D131">
        <v>5189.4380000000001</v>
      </c>
      <c r="E131" t="b">
        <f>IF(energia[[#This Row],[Zrodla_wiatrowe]]&gt;C130,TRUE,FALSE)</f>
        <v>0</v>
      </c>
      <c r="F131">
        <f>IF(energia[[#This Row],[Czy wiatr rosło]],F130+1,1)</f>
        <v>1</v>
      </c>
      <c r="G131">
        <v>7447.2510000000002</v>
      </c>
      <c r="H131" s="6">
        <f>(energia[[#This Row],[Zrodla_wiatrowe]]+energia[[#This Row],[Zrodla_fotowoltaiczne]])</f>
        <v>8669.8260000000009</v>
      </c>
      <c r="I131" s="6">
        <f>I130+energia[[#This Row],[Łączna produkcja]]-energia[[#This Row],[Zapotrzebowanie]]</f>
        <v>251035.23500000007</v>
      </c>
      <c r="J131" t="b">
        <f>IF(energia[[#This Row],[Magazyn]]&lt;0,TRUE,FALSE)</f>
        <v>0</v>
      </c>
    </row>
    <row r="132" spans="1:10" x14ac:dyDescent="0.3">
      <c r="A132" s="1">
        <v>45388</v>
      </c>
      <c r="B132">
        <v>11</v>
      </c>
      <c r="C132">
        <v>3477.2130000000002</v>
      </c>
      <c r="D132">
        <v>6562.7629999999999</v>
      </c>
      <c r="E132" t="b">
        <f>IF(energia[[#This Row],[Zrodla_wiatrowe]]&gt;C131,TRUE,FALSE)</f>
        <v>0</v>
      </c>
      <c r="F132">
        <f>IF(energia[[#This Row],[Czy wiatr rosło]],F131+1,1)</f>
        <v>1</v>
      </c>
      <c r="G132">
        <v>7426.3270000000002</v>
      </c>
      <c r="H132" s="6">
        <f>(energia[[#This Row],[Zrodla_wiatrowe]]+energia[[#This Row],[Zrodla_fotowoltaiczne]])</f>
        <v>10039.976000000001</v>
      </c>
      <c r="I132" s="6">
        <f>I131+energia[[#This Row],[Łączna produkcja]]-energia[[#This Row],[Zapotrzebowanie]]</f>
        <v>253648.88400000008</v>
      </c>
      <c r="J132" t="b">
        <f>IF(energia[[#This Row],[Magazyn]]&lt;0,TRUE,FALSE)</f>
        <v>0</v>
      </c>
    </row>
    <row r="133" spans="1:10" x14ac:dyDescent="0.3">
      <c r="A133" s="1">
        <v>45388</v>
      </c>
      <c r="B133">
        <v>12</v>
      </c>
      <c r="C133">
        <v>3550.9380000000001</v>
      </c>
      <c r="D133">
        <v>8038.3</v>
      </c>
      <c r="E133" t="b">
        <f>IF(energia[[#This Row],[Zrodla_wiatrowe]]&gt;C132,TRUE,FALSE)</f>
        <v>1</v>
      </c>
      <c r="F133">
        <f>IF(energia[[#This Row],[Czy wiatr rosło]],F132+1,1)</f>
        <v>2</v>
      </c>
      <c r="G133">
        <v>7549.7389999999996</v>
      </c>
      <c r="H133" s="6">
        <f>(energia[[#This Row],[Zrodla_wiatrowe]]+energia[[#This Row],[Zrodla_fotowoltaiczne]])</f>
        <v>11589.238000000001</v>
      </c>
      <c r="I133" s="6">
        <f>I132+energia[[#This Row],[Łączna produkcja]]-energia[[#This Row],[Zapotrzebowanie]]</f>
        <v>257688.38300000009</v>
      </c>
      <c r="J133" t="b">
        <f>IF(energia[[#This Row],[Magazyn]]&lt;0,TRUE,FALSE)</f>
        <v>0</v>
      </c>
    </row>
    <row r="134" spans="1:10" x14ac:dyDescent="0.3">
      <c r="A134" s="1">
        <v>45388</v>
      </c>
      <c r="B134">
        <v>13</v>
      </c>
      <c r="C134">
        <v>3686</v>
      </c>
      <c r="D134">
        <v>8002.6379999999999</v>
      </c>
      <c r="E134" t="b">
        <f>IF(energia[[#This Row],[Zrodla_wiatrowe]]&gt;C133,TRUE,FALSE)</f>
        <v>1</v>
      </c>
      <c r="F134">
        <f>IF(energia[[#This Row],[Czy wiatr rosło]],F133+1,1)</f>
        <v>3</v>
      </c>
      <c r="G134">
        <v>7865.27</v>
      </c>
      <c r="H134" s="6">
        <f>(energia[[#This Row],[Zrodla_wiatrowe]]+energia[[#This Row],[Zrodla_fotowoltaiczne]])</f>
        <v>11688.637999999999</v>
      </c>
      <c r="I134" s="6">
        <f>I133+energia[[#This Row],[Łączna produkcja]]-energia[[#This Row],[Zapotrzebowanie]]</f>
        <v>261511.75100000008</v>
      </c>
      <c r="J134" t="b">
        <f>IF(energia[[#This Row],[Magazyn]]&lt;0,TRUE,FALSE)</f>
        <v>0</v>
      </c>
    </row>
    <row r="135" spans="1:10" x14ac:dyDescent="0.3">
      <c r="A135" s="1">
        <v>45388</v>
      </c>
      <c r="B135">
        <v>14</v>
      </c>
      <c r="C135">
        <v>3637.75</v>
      </c>
      <c r="D135">
        <v>7691.7380000000003</v>
      </c>
      <c r="E135" t="b">
        <f>IF(energia[[#This Row],[Zrodla_wiatrowe]]&gt;C134,TRUE,FALSE)</f>
        <v>0</v>
      </c>
      <c r="F135">
        <f>IF(energia[[#This Row],[Czy wiatr rosło]],F134+1,1)</f>
        <v>1</v>
      </c>
      <c r="G135">
        <v>7430.6289999999999</v>
      </c>
      <c r="H135" s="6">
        <f>(energia[[#This Row],[Zrodla_wiatrowe]]+energia[[#This Row],[Zrodla_fotowoltaiczne]])</f>
        <v>11329.488000000001</v>
      </c>
      <c r="I135" s="6">
        <f>I134+energia[[#This Row],[Łączna produkcja]]-energia[[#This Row],[Zapotrzebowanie]]</f>
        <v>265410.61000000004</v>
      </c>
      <c r="J135" t="b">
        <f>IF(energia[[#This Row],[Magazyn]]&lt;0,TRUE,FALSE)</f>
        <v>0</v>
      </c>
    </row>
    <row r="136" spans="1:10" x14ac:dyDescent="0.3">
      <c r="A136" s="1">
        <v>45388</v>
      </c>
      <c r="B136">
        <v>15</v>
      </c>
      <c r="C136">
        <v>3250.6129999999998</v>
      </c>
      <c r="D136">
        <v>7518.45</v>
      </c>
      <c r="E136" t="b">
        <f>IF(energia[[#This Row],[Zrodla_wiatrowe]]&gt;C135,TRUE,FALSE)</f>
        <v>0</v>
      </c>
      <c r="F136">
        <f>IF(energia[[#This Row],[Czy wiatr rosło]],F135+1,1)</f>
        <v>1</v>
      </c>
      <c r="G136">
        <v>7660.2449999999999</v>
      </c>
      <c r="H136" s="6">
        <f>(energia[[#This Row],[Zrodla_wiatrowe]]+energia[[#This Row],[Zrodla_fotowoltaiczne]])</f>
        <v>10769.063</v>
      </c>
      <c r="I136" s="6">
        <f>I135+energia[[#This Row],[Łączna produkcja]]-energia[[#This Row],[Zapotrzebowanie]]</f>
        <v>268519.42800000007</v>
      </c>
      <c r="J136" t="b">
        <f>IF(energia[[#This Row],[Magazyn]]&lt;0,TRUE,FALSE)</f>
        <v>0</v>
      </c>
    </row>
    <row r="137" spans="1:10" x14ac:dyDescent="0.3">
      <c r="A137" s="1">
        <v>45388</v>
      </c>
      <c r="B137">
        <v>16</v>
      </c>
      <c r="C137">
        <v>2574.2379999999998</v>
      </c>
      <c r="D137">
        <v>6545.4380000000001</v>
      </c>
      <c r="E137" t="b">
        <f>IF(energia[[#This Row],[Zrodla_wiatrowe]]&gt;C136,TRUE,FALSE)</f>
        <v>0</v>
      </c>
      <c r="F137">
        <f>IF(energia[[#This Row],[Czy wiatr rosło]],F136+1,1)</f>
        <v>1</v>
      </c>
      <c r="G137">
        <v>7714.8090000000002</v>
      </c>
      <c r="H137" s="6">
        <f>(energia[[#This Row],[Zrodla_wiatrowe]]+energia[[#This Row],[Zrodla_fotowoltaiczne]])</f>
        <v>9119.6759999999995</v>
      </c>
      <c r="I137" s="6">
        <f>I136+energia[[#This Row],[Łączna produkcja]]-energia[[#This Row],[Zapotrzebowanie]]</f>
        <v>269924.29500000004</v>
      </c>
      <c r="J137" t="b">
        <f>IF(energia[[#This Row],[Magazyn]]&lt;0,TRUE,FALSE)</f>
        <v>0</v>
      </c>
    </row>
    <row r="138" spans="1:10" x14ac:dyDescent="0.3">
      <c r="A138" s="1">
        <v>45388</v>
      </c>
      <c r="B138">
        <v>17</v>
      </c>
      <c r="C138">
        <v>1815.1</v>
      </c>
      <c r="D138">
        <v>5289.75</v>
      </c>
      <c r="E138" t="b">
        <f>IF(energia[[#This Row],[Zrodla_wiatrowe]]&gt;C137,TRUE,FALSE)</f>
        <v>0</v>
      </c>
      <c r="F138">
        <f>IF(energia[[#This Row],[Czy wiatr rosło]],F137+1,1)</f>
        <v>1</v>
      </c>
      <c r="G138">
        <v>7444.4030000000002</v>
      </c>
      <c r="H138" s="6">
        <f>(energia[[#This Row],[Zrodla_wiatrowe]]+energia[[#This Row],[Zrodla_fotowoltaiczne]])</f>
        <v>7104.85</v>
      </c>
      <c r="I138" s="6">
        <f>I137+energia[[#This Row],[Łączna produkcja]]-energia[[#This Row],[Zapotrzebowanie]]</f>
        <v>269584.74200000003</v>
      </c>
      <c r="J138" t="b">
        <f>IF(energia[[#This Row],[Magazyn]]&lt;0,TRUE,FALSE)</f>
        <v>0</v>
      </c>
    </row>
    <row r="139" spans="1:10" x14ac:dyDescent="0.3">
      <c r="A139" s="1">
        <v>45388</v>
      </c>
      <c r="B139">
        <v>18</v>
      </c>
      <c r="C139">
        <v>1170.7629999999999</v>
      </c>
      <c r="D139">
        <v>3107.4630000000002</v>
      </c>
      <c r="E139" t="b">
        <f>IF(energia[[#This Row],[Zrodla_wiatrowe]]&gt;C138,TRUE,FALSE)</f>
        <v>0</v>
      </c>
      <c r="F139">
        <f>IF(energia[[#This Row],[Czy wiatr rosło]],F138+1,1)</f>
        <v>1</v>
      </c>
      <c r="G139">
        <v>6835.2460000000001</v>
      </c>
      <c r="H139" s="6">
        <f>(energia[[#This Row],[Zrodla_wiatrowe]]+energia[[#This Row],[Zrodla_fotowoltaiczne]])</f>
        <v>4278.2260000000006</v>
      </c>
      <c r="I139" s="6">
        <f>I138+energia[[#This Row],[Łączna produkcja]]-energia[[#This Row],[Zapotrzebowanie]]</f>
        <v>267027.72200000007</v>
      </c>
      <c r="J139" t="b">
        <f>IF(energia[[#This Row],[Magazyn]]&lt;0,TRUE,FALSE)</f>
        <v>0</v>
      </c>
    </row>
    <row r="140" spans="1:10" x14ac:dyDescent="0.3">
      <c r="A140" s="1">
        <v>45388</v>
      </c>
      <c r="B140">
        <v>19</v>
      </c>
      <c r="C140">
        <v>628.33799999999997</v>
      </c>
      <c r="D140">
        <v>1035.1379999999999</v>
      </c>
      <c r="E140" t="b">
        <f>IF(energia[[#This Row],[Zrodla_wiatrowe]]&gt;C139,TRUE,FALSE)</f>
        <v>0</v>
      </c>
      <c r="F140">
        <f>IF(energia[[#This Row],[Czy wiatr rosło]],F139+1,1)</f>
        <v>1</v>
      </c>
      <c r="G140">
        <v>6108.2389999999996</v>
      </c>
      <c r="H140" s="6">
        <f>(energia[[#This Row],[Zrodla_wiatrowe]]+energia[[#This Row],[Zrodla_fotowoltaiczne]])</f>
        <v>1663.4759999999999</v>
      </c>
      <c r="I140" s="6">
        <f>I139+energia[[#This Row],[Łączna produkcja]]-energia[[#This Row],[Zapotrzebowanie]]</f>
        <v>262582.95900000009</v>
      </c>
      <c r="J140" t="b">
        <f>IF(energia[[#This Row],[Magazyn]]&lt;0,TRUE,FALSE)</f>
        <v>0</v>
      </c>
    </row>
    <row r="141" spans="1:10" x14ac:dyDescent="0.3">
      <c r="A141" s="1">
        <v>45388</v>
      </c>
      <c r="B141">
        <v>20</v>
      </c>
      <c r="C141">
        <v>510.488</v>
      </c>
      <c r="D141">
        <v>152.863</v>
      </c>
      <c r="E141" t="b">
        <f>IF(energia[[#This Row],[Zrodla_wiatrowe]]&gt;C140,TRUE,FALSE)</f>
        <v>0</v>
      </c>
      <c r="F141">
        <f>IF(energia[[#This Row],[Czy wiatr rosło]],F140+1,1)</f>
        <v>1</v>
      </c>
      <c r="G141">
        <v>5942.8720000000003</v>
      </c>
      <c r="H141" s="6">
        <f>(energia[[#This Row],[Zrodla_wiatrowe]]+energia[[#This Row],[Zrodla_fotowoltaiczne]])</f>
        <v>663.351</v>
      </c>
      <c r="I141" s="6">
        <f>I140+energia[[#This Row],[Łączna produkcja]]-energia[[#This Row],[Zapotrzebowanie]]</f>
        <v>257303.43800000011</v>
      </c>
      <c r="J141" t="b">
        <f>IF(energia[[#This Row],[Magazyn]]&lt;0,TRUE,FALSE)</f>
        <v>0</v>
      </c>
    </row>
    <row r="142" spans="1:10" x14ac:dyDescent="0.3">
      <c r="A142" s="1">
        <v>45388</v>
      </c>
      <c r="B142">
        <v>21</v>
      </c>
      <c r="C142">
        <v>640.72500000000002</v>
      </c>
      <c r="D142">
        <v>0</v>
      </c>
      <c r="E142" t="b">
        <f>IF(energia[[#This Row],[Zrodla_wiatrowe]]&gt;C141,TRUE,FALSE)</f>
        <v>1</v>
      </c>
      <c r="F142">
        <f>IF(energia[[#This Row],[Czy wiatr rosło]],F141+1,1)</f>
        <v>2</v>
      </c>
      <c r="G142">
        <v>4617.732</v>
      </c>
      <c r="H142" s="6">
        <f>(energia[[#This Row],[Zrodla_wiatrowe]]+energia[[#This Row],[Zrodla_fotowoltaiczne]])</f>
        <v>640.72500000000002</v>
      </c>
      <c r="I142" s="6">
        <f>I141+energia[[#This Row],[Łączna produkcja]]-energia[[#This Row],[Zapotrzebowanie]]</f>
        <v>253326.43100000013</v>
      </c>
      <c r="J142" t="b">
        <f>IF(energia[[#This Row],[Magazyn]]&lt;0,TRUE,FALSE)</f>
        <v>0</v>
      </c>
    </row>
    <row r="143" spans="1:10" x14ac:dyDescent="0.3">
      <c r="A143" s="1">
        <v>45388</v>
      </c>
      <c r="B143">
        <v>22</v>
      </c>
      <c r="C143">
        <v>841.47500000000002</v>
      </c>
      <c r="D143">
        <v>0</v>
      </c>
      <c r="E143" t="b">
        <f>IF(energia[[#This Row],[Zrodla_wiatrowe]]&gt;C142,TRUE,FALSE)</f>
        <v>1</v>
      </c>
      <c r="F143">
        <f>IF(energia[[#This Row],[Czy wiatr rosło]],F142+1,1)</f>
        <v>3</v>
      </c>
      <c r="G143">
        <v>4457.1670000000004</v>
      </c>
      <c r="H143" s="6">
        <f>(energia[[#This Row],[Zrodla_wiatrowe]]+energia[[#This Row],[Zrodla_fotowoltaiczne]])</f>
        <v>841.47500000000002</v>
      </c>
      <c r="I143" s="6">
        <f>I142+energia[[#This Row],[Łączna produkcja]]-energia[[#This Row],[Zapotrzebowanie]]</f>
        <v>249710.73900000015</v>
      </c>
      <c r="J143" t="b">
        <f>IF(energia[[#This Row],[Magazyn]]&lt;0,TRUE,FALSE)</f>
        <v>0</v>
      </c>
    </row>
    <row r="144" spans="1:10" x14ac:dyDescent="0.3">
      <c r="A144" s="1">
        <v>45388</v>
      </c>
      <c r="B144">
        <v>23</v>
      </c>
      <c r="C144">
        <v>1385.2</v>
      </c>
      <c r="D144">
        <v>0</v>
      </c>
      <c r="E144" t="b">
        <f>IF(energia[[#This Row],[Zrodla_wiatrowe]]&gt;C143,TRUE,FALSE)</f>
        <v>1</v>
      </c>
      <c r="F144">
        <f>IF(energia[[#This Row],[Czy wiatr rosło]],F143+1,1)</f>
        <v>4</v>
      </c>
      <c r="G144">
        <v>2761.2739999999999</v>
      </c>
      <c r="H144" s="6">
        <f>(energia[[#This Row],[Zrodla_wiatrowe]]+energia[[#This Row],[Zrodla_fotowoltaiczne]])</f>
        <v>1385.2</v>
      </c>
      <c r="I144" s="6">
        <f>I143+energia[[#This Row],[Łączna produkcja]]-energia[[#This Row],[Zapotrzebowanie]]</f>
        <v>248334.66500000015</v>
      </c>
      <c r="J144" t="b">
        <f>IF(energia[[#This Row],[Magazyn]]&lt;0,TRUE,FALSE)</f>
        <v>0</v>
      </c>
    </row>
    <row r="145" spans="1:10" x14ac:dyDescent="0.3">
      <c r="A145" s="1">
        <v>45388</v>
      </c>
      <c r="B145">
        <v>24</v>
      </c>
      <c r="C145">
        <v>2037.3130000000001</v>
      </c>
      <c r="D145">
        <v>0</v>
      </c>
      <c r="E145" t="b">
        <f>IF(energia[[#This Row],[Zrodla_wiatrowe]]&gt;C144,TRUE,FALSE)</f>
        <v>1</v>
      </c>
      <c r="F145">
        <f>IF(energia[[#This Row],[Czy wiatr rosło]],F144+1,1)</f>
        <v>5</v>
      </c>
      <c r="G145">
        <v>1621.2260000000001</v>
      </c>
      <c r="H145" s="6">
        <f>(energia[[#This Row],[Zrodla_wiatrowe]]+energia[[#This Row],[Zrodla_fotowoltaiczne]])</f>
        <v>2037.3130000000001</v>
      </c>
      <c r="I145" s="6">
        <f>I144+energia[[#This Row],[Łączna produkcja]]-energia[[#This Row],[Zapotrzebowanie]]</f>
        <v>248750.75200000015</v>
      </c>
      <c r="J145" t="b">
        <f>IF(energia[[#This Row],[Magazyn]]&lt;0,TRUE,FALSE)</f>
        <v>0</v>
      </c>
    </row>
    <row r="146" spans="1:10" x14ac:dyDescent="0.3">
      <c r="A146" s="1">
        <v>45389</v>
      </c>
      <c r="B146">
        <v>1</v>
      </c>
      <c r="C146">
        <v>2619.7629999999999</v>
      </c>
      <c r="D146">
        <v>0</v>
      </c>
      <c r="E146" t="b">
        <f>IF(energia[[#This Row],[Zrodla_wiatrowe]]&gt;C145,TRUE,FALSE)</f>
        <v>1</v>
      </c>
      <c r="F146">
        <f>IF(energia[[#This Row],[Czy wiatr rosło]],F145+1,1)</f>
        <v>6</v>
      </c>
      <c r="G146">
        <v>1461.3610000000001</v>
      </c>
      <c r="H146" s="6">
        <f>(energia[[#This Row],[Zrodla_wiatrowe]]+energia[[#This Row],[Zrodla_fotowoltaiczne]])</f>
        <v>2619.7629999999999</v>
      </c>
      <c r="I146" s="6">
        <f>I145+energia[[#This Row],[Łączna produkcja]]-energia[[#This Row],[Zapotrzebowanie]]</f>
        <v>249909.15400000016</v>
      </c>
      <c r="J146" t="b">
        <f>IF(energia[[#This Row],[Magazyn]]&lt;0,TRUE,FALSE)</f>
        <v>0</v>
      </c>
    </row>
    <row r="147" spans="1:10" x14ac:dyDescent="0.3">
      <c r="A147" s="1">
        <v>45389</v>
      </c>
      <c r="B147">
        <v>2</v>
      </c>
      <c r="C147">
        <v>3091.0129999999999</v>
      </c>
      <c r="D147">
        <v>0</v>
      </c>
      <c r="E147" t="b">
        <f>IF(energia[[#This Row],[Zrodla_wiatrowe]]&gt;C146,TRUE,FALSE)</f>
        <v>1</v>
      </c>
      <c r="F147">
        <f>IF(energia[[#This Row],[Czy wiatr rosło]],F146+1,1)</f>
        <v>7</v>
      </c>
      <c r="G147">
        <v>1252.9069999999999</v>
      </c>
      <c r="H147" s="6">
        <f>(energia[[#This Row],[Zrodla_wiatrowe]]+energia[[#This Row],[Zrodla_fotowoltaiczne]])</f>
        <v>3091.0129999999999</v>
      </c>
      <c r="I147" s="6">
        <f>I146+energia[[#This Row],[Łączna produkcja]]-energia[[#This Row],[Zapotrzebowanie]]</f>
        <v>251747.26000000015</v>
      </c>
      <c r="J147" t="b">
        <f>IF(energia[[#This Row],[Magazyn]]&lt;0,TRUE,FALSE)</f>
        <v>0</v>
      </c>
    </row>
    <row r="148" spans="1:10" x14ac:dyDescent="0.3">
      <c r="A148" s="1">
        <v>45389</v>
      </c>
      <c r="B148">
        <v>3</v>
      </c>
      <c r="C148">
        <v>3662.3879999999999</v>
      </c>
      <c r="D148">
        <v>0</v>
      </c>
      <c r="E148" t="b">
        <f>IF(energia[[#This Row],[Zrodla_wiatrowe]]&gt;C147,TRUE,FALSE)</f>
        <v>1</v>
      </c>
      <c r="F148">
        <f>IF(energia[[#This Row],[Czy wiatr rosło]],F147+1,1)</f>
        <v>8</v>
      </c>
      <c r="G148">
        <v>1171.826</v>
      </c>
      <c r="H148" s="6">
        <f>(energia[[#This Row],[Zrodla_wiatrowe]]+energia[[#This Row],[Zrodla_fotowoltaiczne]])</f>
        <v>3662.3879999999999</v>
      </c>
      <c r="I148" s="6">
        <f>I147+energia[[#This Row],[Łączna produkcja]]-energia[[#This Row],[Zapotrzebowanie]]</f>
        <v>254237.82200000016</v>
      </c>
      <c r="J148" t="b">
        <f>IF(energia[[#This Row],[Magazyn]]&lt;0,TRUE,FALSE)</f>
        <v>0</v>
      </c>
    </row>
    <row r="149" spans="1:10" x14ac:dyDescent="0.3">
      <c r="A149" s="1">
        <v>45389</v>
      </c>
      <c r="B149">
        <v>4</v>
      </c>
      <c r="C149">
        <v>4079.4250000000002</v>
      </c>
      <c r="D149">
        <v>0</v>
      </c>
      <c r="E149" t="b">
        <f>IF(energia[[#This Row],[Zrodla_wiatrowe]]&gt;C148,TRUE,FALSE)</f>
        <v>1</v>
      </c>
      <c r="F149">
        <f>IF(energia[[#This Row],[Czy wiatr rosło]],F148+1,1)</f>
        <v>9</v>
      </c>
      <c r="G149">
        <v>1174.2280000000001</v>
      </c>
      <c r="H149" s="6">
        <f>(energia[[#This Row],[Zrodla_wiatrowe]]+energia[[#This Row],[Zrodla_fotowoltaiczne]])</f>
        <v>4079.4250000000002</v>
      </c>
      <c r="I149" s="6">
        <f>I148+energia[[#This Row],[Łączna produkcja]]-energia[[#This Row],[Zapotrzebowanie]]</f>
        <v>257143.01900000015</v>
      </c>
      <c r="J149" t="b">
        <f>IF(energia[[#This Row],[Magazyn]]&lt;0,TRUE,FALSE)</f>
        <v>0</v>
      </c>
    </row>
    <row r="150" spans="1:10" x14ac:dyDescent="0.3">
      <c r="A150" s="1">
        <v>45389</v>
      </c>
      <c r="B150">
        <v>5</v>
      </c>
      <c r="C150">
        <v>4390.8500000000004</v>
      </c>
      <c r="D150">
        <v>0</v>
      </c>
      <c r="E150" t="b">
        <f>IF(energia[[#This Row],[Zrodla_wiatrowe]]&gt;C149,TRUE,FALSE)</f>
        <v>1</v>
      </c>
      <c r="F150">
        <f>IF(energia[[#This Row],[Czy wiatr rosło]],F149+1,1)</f>
        <v>10</v>
      </c>
      <c r="G150">
        <v>1760.3309999999999</v>
      </c>
      <c r="H150" s="6">
        <f>(energia[[#This Row],[Zrodla_wiatrowe]]+energia[[#This Row],[Zrodla_fotowoltaiczne]])</f>
        <v>4390.8500000000004</v>
      </c>
      <c r="I150" s="6">
        <f>I149+energia[[#This Row],[Łączna produkcja]]-energia[[#This Row],[Zapotrzebowanie]]</f>
        <v>259773.53800000015</v>
      </c>
      <c r="J150" t="b">
        <f>IF(energia[[#This Row],[Magazyn]]&lt;0,TRUE,FALSE)</f>
        <v>0</v>
      </c>
    </row>
    <row r="151" spans="1:10" x14ac:dyDescent="0.3">
      <c r="A151" s="1">
        <v>45389</v>
      </c>
      <c r="B151">
        <v>6</v>
      </c>
      <c r="C151">
        <v>4557.6130000000003</v>
      </c>
      <c r="D151">
        <v>6.7880000000000003</v>
      </c>
      <c r="E151" t="b">
        <f>IF(energia[[#This Row],[Zrodla_wiatrowe]]&gt;C150,TRUE,FALSE)</f>
        <v>1</v>
      </c>
      <c r="F151">
        <f>IF(energia[[#This Row],[Czy wiatr rosło]],F150+1,1)</f>
        <v>11</v>
      </c>
      <c r="G151">
        <v>2915.1669999999999</v>
      </c>
      <c r="H151" s="6">
        <f>(energia[[#This Row],[Zrodla_wiatrowe]]+energia[[#This Row],[Zrodla_fotowoltaiczne]])</f>
        <v>4564.4009999999998</v>
      </c>
      <c r="I151" s="6">
        <f>I150+energia[[#This Row],[Łączna produkcja]]-energia[[#This Row],[Zapotrzebowanie]]</f>
        <v>261422.77200000014</v>
      </c>
      <c r="J151" t="b">
        <f>IF(energia[[#This Row],[Magazyn]]&lt;0,TRUE,FALSE)</f>
        <v>0</v>
      </c>
    </row>
    <row r="152" spans="1:10" x14ac:dyDescent="0.3">
      <c r="A152" s="1">
        <v>45389</v>
      </c>
      <c r="B152">
        <v>7</v>
      </c>
      <c r="C152">
        <v>4803.3500000000004</v>
      </c>
      <c r="D152">
        <v>327.39999999999998</v>
      </c>
      <c r="E152" t="b">
        <f>IF(energia[[#This Row],[Zrodla_wiatrowe]]&gt;C151,TRUE,FALSE)</f>
        <v>1</v>
      </c>
      <c r="F152">
        <f>IF(energia[[#This Row],[Czy wiatr rosło]],F151+1,1)</f>
        <v>12</v>
      </c>
      <c r="G152">
        <v>3971.143</v>
      </c>
      <c r="H152" s="6">
        <f>(energia[[#This Row],[Zrodla_wiatrowe]]+energia[[#This Row],[Zrodla_fotowoltaiczne]])</f>
        <v>5130.75</v>
      </c>
      <c r="I152" s="6">
        <f>I151+energia[[#This Row],[Łączna produkcja]]-energia[[#This Row],[Zapotrzebowanie]]</f>
        <v>262582.37900000013</v>
      </c>
      <c r="J152" t="b">
        <f>IF(energia[[#This Row],[Magazyn]]&lt;0,TRUE,FALSE)</f>
        <v>0</v>
      </c>
    </row>
    <row r="153" spans="1:10" x14ac:dyDescent="0.3">
      <c r="A153" s="1">
        <v>45389</v>
      </c>
      <c r="B153">
        <v>8</v>
      </c>
      <c r="C153">
        <v>4993.1880000000001</v>
      </c>
      <c r="D153">
        <v>1778.9380000000001</v>
      </c>
      <c r="E153" t="b">
        <f>IF(energia[[#This Row],[Zrodla_wiatrowe]]&gt;C152,TRUE,FALSE)</f>
        <v>1</v>
      </c>
      <c r="F153">
        <f>IF(energia[[#This Row],[Czy wiatr rosło]],F152+1,1)</f>
        <v>13</v>
      </c>
      <c r="G153">
        <v>5873.9129999999996</v>
      </c>
      <c r="H153" s="6">
        <f>(energia[[#This Row],[Zrodla_wiatrowe]]+energia[[#This Row],[Zrodla_fotowoltaiczne]])</f>
        <v>6772.1260000000002</v>
      </c>
      <c r="I153" s="6">
        <f>I152+energia[[#This Row],[Łączna produkcja]]-energia[[#This Row],[Zapotrzebowanie]]</f>
        <v>263480.59200000012</v>
      </c>
      <c r="J153" t="b">
        <f>IF(energia[[#This Row],[Magazyn]]&lt;0,TRUE,FALSE)</f>
        <v>0</v>
      </c>
    </row>
    <row r="154" spans="1:10" x14ac:dyDescent="0.3">
      <c r="A154" s="1">
        <v>45389</v>
      </c>
      <c r="B154">
        <v>9</v>
      </c>
      <c r="C154">
        <v>4525.8130000000001</v>
      </c>
      <c r="D154">
        <v>3994.5250000000001</v>
      </c>
      <c r="E154" t="b">
        <f>IF(energia[[#This Row],[Zrodla_wiatrowe]]&gt;C153,TRUE,FALSE)</f>
        <v>0</v>
      </c>
      <c r="F154">
        <f>IF(energia[[#This Row],[Czy wiatr rosło]],F153+1,1)</f>
        <v>1</v>
      </c>
      <c r="G154">
        <v>6578.7780000000002</v>
      </c>
      <c r="H154" s="6">
        <f>(energia[[#This Row],[Zrodla_wiatrowe]]+energia[[#This Row],[Zrodla_fotowoltaiczne]])</f>
        <v>8520.3379999999997</v>
      </c>
      <c r="I154" s="6">
        <f>I153+energia[[#This Row],[Łączna produkcja]]-energia[[#This Row],[Zapotrzebowanie]]</f>
        <v>265422.15200000012</v>
      </c>
      <c r="J154" t="b">
        <f>IF(energia[[#This Row],[Magazyn]]&lt;0,TRUE,FALSE)</f>
        <v>0</v>
      </c>
    </row>
    <row r="155" spans="1:10" x14ac:dyDescent="0.3">
      <c r="A155" s="1">
        <v>45389</v>
      </c>
      <c r="B155">
        <v>10</v>
      </c>
      <c r="C155">
        <v>3707.1880000000001</v>
      </c>
      <c r="D155">
        <v>5784.4880000000003</v>
      </c>
      <c r="E155" t="b">
        <f>IF(energia[[#This Row],[Zrodla_wiatrowe]]&gt;C154,TRUE,FALSE)</f>
        <v>0</v>
      </c>
      <c r="F155">
        <f>IF(energia[[#This Row],[Czy wiatr rosło]],F154+1,1)</f>
        <v>1</v>
      </c>
      <c r="G155">
        <v>7342.701</v>
      </c>
      <c r="H155" s="6">
        <f>(energia[[#This Row],[Zrodla_wiatrowe]]+energia[[#This Row],[Zrodla_fotowoltaiczne]])</f>
        <v>9491.6759999999995</v>
      </c>
      <c r="I155" s="6">
        <f>I154+energia[[#This Row],[Łączna produkcja]]-energia[[#This Row],[Zapotrzebowanie]]</f>
        <v>267571.12700000009</v>
      </c>
      <c r="J155" t="b">
        <f>IF(energia[[#This Row],[Magazyn]]&lt;0,TRUE,FALSE)</f>
        <v>0</v>
      </c>
    </row>
    <row r="156" spans="1:10" x14ac:dyDescent="0.3">
      <c r="A156" s="1">
        <v>45389</v>
      </c>
      <c r="B156">
        <v>11</v>
      </c>
      <c r="C156">
        <v>3536.3629999999998</v>
      </c>
      <c r="D156">
        <v>7371.8379999999997</v>
      </c>
      <c r="E156" t="b">
        <f>IF(energia[[#This Row],[Zrodla_wiatrowe]]&gt;C155,TRUE,FALSE)</f>
        <v>0</v>
      </c>
      <c r="F156">
        <f>IF(energia[[#This Row],[Czy wiatr rosło]],F155+1,1)</f>
        <v>1</v>
      </c>
      <c r="G156">
        <v>7322.07</v>
      </c>
      <c r="H156" s="6">
        <f>(energia[[#This Row],[Zrodla_wiatrowe]]+energia[[#This Row],[Zrodla_fotowoltaiczne]])</f>
        <v>10908.200999999999</v>
      </c>
      <c r="I156" s="6">
        <f>I155+energia[[#This Row],[Łączna produkcja]]-energia[[#This Row],[Zapotrzebowanie]]</f>
        <v>271157.25800000009</v>
      </c>
      <c r="J156" t="b">
        <f>IF(energia[[#This Row],[Magazyn]]&lt;0,TRUE,FALSE)</f>
        <v>0</v>
      </c>
    </row>
    <row r="157" spans="1:10" x14ac:dyDescent="0.3">
      <c r="A157" s="1">
        <v>45389</v>
      </c>
      <c r="B157">
        <v>12</v>
      </c>
      <c r="C157">
        <v>3839.4250000000002</v>
      </c>
      <c r="D157">
        <v>7463.9750000000004</v>
      </c>
      <c r="E157" t="b">
        <f>IF(energia[[#This Row],[Zrodla_wiatrowe]]&gt;C156,TRUE,FALSE)</f>
        <v>1</v>
      </c>
      <c r="F157">
        <f>IF(energia[[#This Row],[Czy wiatr rosło]],F156+1,1)</f>
        <v>2</v>
      </c>
      <c r="G157">
        <v>7443.75</v>
      </c>
      <c r="H157" s="6">
        <f>(energia[[#This Row],[Zrodla_wiatrowe]]+energia[[#This Row],[Zrodla_fotowoltaiczne]])</f>
        <v>11303.400000000001</v>
      </c>
      <c r="I157" s="6">
        <f>I156+energia[[#This Row],[Łączna produkcja]]-energia[[#This Row],[Zapotrzebowanie]]</f>
        <v>275016.90800000011</v>
      </c>
      <c r="J157" t="b">
        <f>IF(energia[[#This Row],[Magazyn]]&lt;0,TRUE,FALSE)</f>
        <v>0</v>
      </c>
    </row>
    <row r="158" spans="1:10" x14ac:dyDescent="0.3">
      <c r="A158" s="1">
        <v>45389</v>
      </c>
      <c r="B158">
        <v>13</v>
      </c>
      <c r="C158">
        <v>4186.2</v>
      </c>
      <c r="D158">
        <v>7302.5</v>
      </c>
      <c r="E158" t="b">
        <f>IF(energia[[#This Row],[Zrodla_wiatrowe]]&gt;C157,TRUE,FALSE)</f>
        <v>1</v>
      </c>
      <c r="F158">
        <f>IF(energia[[#This Row],[Czy wiatr rosło]],F157+1,1)</f>
        <v>3</v>
      </c>
      <c r="G158">
        <v>7754.8519999999999</v>
      </c>
      <c r="H158" s="6">
        <f>(energia[[#This Row],[Zrodla_wiatrowe]]+energia[[#This Row],[Zrodla_fotowoltaiczne]])</f>
        <v>11488.7</v>
      </c>
      <c r="I158" s="6">
        <f>I157+energia[[#This Row],[Łączna produkcja]]-energia[[#This Row],[Zapotrzebowanie]]</f>
        <v>278750.75600000011</v>
      </c>
      <c r="J158" t="b">
        <f>IF(energia[[#This Row],[Magazyn]]&lt;0,TRUE,FALSE)</f>
        <v>0</v>
      </c>
    </row>
    <row r="159" spans="1:10" x14ac:dyDescent="0.3">
      <c r="A159" s="1">
        <v>45389</v>
      </c>
      <c r="B159">
        <v>14</v>
      </c>
      <c r="C159">
        <v>3318.25</v>
      </c>
      <c r="D159">
        <v>7102.75</v>
      </c>
      <c r="E159" t="b">
        <f>IF(energia[[#This Row],[Zrodla_wiatrowe]]&gt;C158,TRUE,FALSE)</f>
        <v>0</v>
      </c>
      <c r="F159">
        <f>IF(energia[[#This Row],[Czy wiatr rosło]],F158+1,1)</f>
        <v>1</v>
      </c>
      <c r="G159">
        <v>7326.3130000000001</v>
      </c>
      <c r="H159" s="6">
        <f>(energia[[#This Row],[Zrodla_wiatrowe]]+energia[[#This Row],[Zrodla_fotowoltaiczne]])</f>
        <v>10421</v>
      </c>
      <c r="I159" s="6">
        <f>I158+energia[[#This Row],[Łączna produkcja]]-energia[[#This Row],[Zapotrzebowanie]]</f>
        <v>281845.44300000009</v>
      </c>
      <c r="J159" t="b">
        <f>IF(energia[[#This Row],[Magazyn]]&lt;0,TRUE,FALSE)</f>
        <v>0</v>
      </c>
    </row>
    <row r="160" spans="1:10" x14ac:dyDescent="0.3">
      <c r="A160" s="1">
        <v>45389</v>
      </c>
      <c r="B160">
        <v>15</v>
      </c>
      <c r="C160">
        <v>2636.8879999999999</v>
      </c>
      <c r="D160">
        <v>6636.6</v>
      </c>
      <c r="E160" t="b">
        <f>IF(energia[[#This Row],[Zrodla_wiatrowe]]&gt;C159,TRUE,FALSE)</f>
        <v>0</v>
      </c>
      <c r="F160">
        <f>IF(energia[[#This Row],[Czy wiatr rosło]],F159+1,1)</f>
        <v>1</v>
      </c>
      <c r="G160">
        <v>7552.7039999999997</v>
      </c>
      <c r="H160" s="6">
        <f>(energia[[#This Row],[Zrodla_wiatrowe]]+energia[[#This Row],[Zrodla_fotowoltaiczne]])</f>
        <v>9273.4880000000012</v>
      </c>
      <c r="I160" s="6">
        <f>I159+energia[[#This Row],[Łączna produkcja]]-energia[[#This Row],[Zapotrzebowanie]]</f>
        <v>283566.22700000007</v>
      </c>
      <c r="J160" t="b">
        <f>IF(energia[[#This Row],[Magazyn]]&lt;0,TRUE,FALSE)</f>
        <v>0</v>
      </c>
    </row>
    <row r="161" spans="1:10" x14ac:dyDescent="0.3">
      <c r="A161" s="1">
        <v>45389</v>
      </c>
      <c r="B161">
        <v>16</v>
      </c>
      <c r="C161">
        <v>2253.6999999999998</v>
      </c>
      <c r="D161">
        <v>5685.6880000000001</v>
      </c>
      <c r="E161" t="b">
        <f>IF(energia[[#This Row],[Zrodla_wiatrowe]]&gt;C160,TRUE,FALSE)</f>
        <v>0</v>
      </c>
      <c r="F161">
        <f>IF(energia[[#This Row],[Czy wiatr rosło]],F160+1,1)</f>
        <v>1</v>
      </c>
      <c r="G161">
        <v>7606.5029999999997</v>
      </c>
      <c r="H161" s="6">
        <f>(energia[[#This Row],[Zrodla_wiatrowe]]+energia[[#This Row],[Zrodla_fotowoltaiczne]])</f>
        <v>7939.3879999999999</v>
      </c>
      <c r="I161" s="6">
        <f>I160+energia[[#This Row],[Łączna produkcja]]-energia[[#This Row],[Zapotrzebowanie]]</f>
        <v>283899.11200000002</v>
      </c>
      <c r="J161" t="b">
        <f>IF(energia[[#This Row],[Magazyn]]&lt;0,TRUE,FALSE)</f>
        <v>0</v>
      </c>
    </row>
    <row r="162" spans="1:10" x14ac:dyDescent="0.3">
      <c r="A162" s="1">
        <v>45389</v>
      </c>
      <c r="B162">
        <v>17</v>
      </c>
      <c r="C162">
        <v>1804.35</v>
      </c>
      <c r="D162">
        <v>5050.8500000000004</v>
      </c>
      <c r="E162" t="b">
        <f>IF(energia[[#This Row],[Zrodla_wiatrowe]]&gt;C161,TRUE,FALSE)</f>
        <v>0</v>
      </c>
      <c r="F162">
        <f>IF(energia[[#This Row],[Czy wiatr rosło]],F161+1,1)</f>
        <v>1</v>
      </c>
      <c r="G162">
        <v>7339.893</v>
      </c>
      <c r="H162" s="6">
        <f>(energia[[#This Row],[Zrodla_wiatrowe]]+energia[[#This Row],[Zrodla_fotowoltaiczne]])</f>
        <v>6855.2000000000007</v>
      </c>
      <c r="I162" s="6">
        <f>I161+energia[[#This Row],[Łączna produkcja]]-energia[[#This Row],[Zapotrzebowanie]]</f>
        <v>283414.41900000005</v>
      </c>
      <c r="J162" t="b">
        <f>IF(energia[[#This Row],[Magazyn]]&lt;0,TRUE,FALSE)</f>
        <v>0</v>
      </c>
    </row>
    <row r="163" spans="1:10" x14ac:dyDescent="0.3">
      <c r="A163" s="1">
        <v>45389</v>
      </c>
      <c r="B163">
        <v>18</v>
      </c>
      <c r="C163">
        <v>1486.4749999999999</v>
      </c>
      <c r="D163">
        <v>3331.9630000000002</v>
      </c>
      <c r="E163" t="b">
        <f>IF(energia[[#This Row],[Zrodla_wiatrowe]]&gt;C162,TRUE,FALSE)</f>
        <v>0</v>
      </c>
      <c r="F163">
        <f>IF(energia[[#This Row],[Czy wiatr rosło]],F162+1,1)</f>
        <v>1</v>
      </c>
      <c r="G163">
        <v>6739.2879999999996</v>
      </c>
      <c r="H163" s="6">
        <f>(energia[[#This Row],[Zrodla_wiatrowe]]+energia[[#This Row],[Zrodla_fotowoltaiczne]])</f>
        <v>4818.4380000000001</v>
      </c>
      <c r="I163" s="6">
        <f>I162+energia[[#This Row],[Łączna produkcja]]-energia[[#This Row],[Zapotrzebowanie]]</f>
        <v>281493.56900000008</v>
      </c>
      <c r="J163" t="b">
        <f>IF(energia[[#This Row],[Magazyn]]&lt;0,TRUE,FALSE)</f>
        <v>0</v>
      </c>
    </row>
    <row r="164" spans="1:10" x14ac:dyDescent="0.3">
      <c r="A164" s="1">
        <v>45389</v>
      </c>
      <c r="B164">
        <v>19</v>
      </c>
      <c r="C164">
        <v>1384</v>
      </c>
      <c r="D164">
        <v>1437.3</v>
      </c>
      <c r="E164" t="b">
        <f>IF(energia[[#This Row],[Zrodla_wiatrowe]]&gt;C163,TRUE,FALSE)</f>
        <v>0</v>
      </c>
      <c r="F164">
        <f>IF(energia[[#This Row],[Czy wiatr rosło]],F163+1,1)</f>
        <v>1</v>
      </c>
      <c r="G164">
        <v>6022.4870000000001</v>
      </c>
      <c r="H164" s="6">
        <f>(energia[[#This Row],[Zrodla_wiatrowe]]+energia[[#This Row],[Zrodla_fotowoltaiczne]])</f>
        <v>2821.3</v>
      </c>
      <c r="I164" s="6">
        <f>I163+energia[[#This Row],[Łączna produkcja]]-energia[[#This Row],[Zapotrzebowanie]]</f>
        <v>278292.38200000004</v>
      </c>
      <c r="J164" t="b">
        <f>IF(energia[[#This Row],[Magazyn]]&lt;0,TRUE,FALSE)</f>
        <v>0</v>
      </c>
    </row>
    <row r="165" spans="1:10" x14ac:dyDescent="0.3">
      <c r="A165" s="1">
        <v>45389</v>
      </c>
      <c r="B165">
        <v>20</v>
      </c>
      <c r="C165">
        <v>1703.15</v>
      </c>
      <c r="D165">
        <v>184.92500000000001</v>
      </c>
      <c r="E165" t="b">
        <f>IF(energia[[#This Row],[Zrodla_wiatrowe]]&gt;C164,TRUE,FALSE)</f>
        <v>1</v>
      </c>
      <c r="F165">
        <f>IF(energia[[#This Row],[Czy wiatr rosło]],F164+1,1)</f>
        <v>2</v>
      </c>
      <c r="G165">
        <v>5859.442</v>
      </c>
      <c r="H165" s="6">
        <f>(energia[[#This Row],[Zrodla_wiatrowe]]+energia[[#This Row],[Zrodla_fotowoltaiczne]])</f>
        <v>1888.075</v>
      </c>
      <c r="I165" s="6">
        <f>I164+energia[[#This Row],[Łączna produkcja]]-energia[[#This Row],[Zapotrzebowanie]]</f>
        <v>274321.01500000007</v>
      </c>
      <c r="J165" t="b">
        <f>IF(energia[[#This Row],[Magazyn]]&lt;0,TRUE,FALSE)</f>
        <v>0</v>
      </c>
    </row>
    <row r="166" spans="1:10" x14ac:dyDescent="0.3">
      <c r="A166" s="1">
        <v>45389</v>
      </c>
      <c r="B166">
        <v>21</v>
      </c>
      <c r="C166">
        <v>2095.3249999999998</v>
      </c>
      <c r="D166">
        <v>0</v>
      </c>
      <c r="E166" t="b">
        <f>IF(energia[[#This Row],[Zrodla_wiatrowe]]&gt;C165,TRUE,FALSE)</f>
        <v>1</v>
      </c>
      <c r="F166">
        <f>IF(energia[[#This Row],[Czy wiatr rosło]],F165+1,1)</f>
        <v>3</v>
      </c>
      <c r="G166">
        <v>4552.9049999999997</v>
      </c>
      <c r="H166" s="6">
        <f>(energia[[#This Row],[Zrodla_wiatrowe]]+energia[[#This Row],[Zrodla_fotowoltaiczne]])</f>
        <v>2095.3249999999998</v>
      </c>
      <c r="I166" s="6">
        <f>I165+energia[[#This Row],[Łączna produkcja]]-energia[[#This Row],[Zapotrzebowanie]]</f>
        <v>271863.43500000006</v>
      </c>
      <c r="J166" t="b">
        <f>IF(energia[[#This Row],[Magazyn]]&lt;0,TRUE,FALSE)</f>
        <v>0</v>
      </c>
    </row>
    <row r="167" spans="1:10" x14ac:dyDescent="0.3">
      <c r="A167" s="1">
        <v>45389</v>
      </c>
      <c r="B167">
        <v>22</v>
      </c>
      <c r="C167">
        <v>2056.4380000000001</v>
      </c>
      <c r="D167">
        <v>0</v>
      </c>
      <c r="E167" t="b">
        <f>IF(energia[[#This Row],[Zrodla_wiatrowe]]&gt;C166,TRUE,FALSE)</f>
        <v>0</v>
      </c>
      <c r="F167">
        <f>IF(energia[[#This Row],[Czy wiatr rosło]],F166+1,1)</f>
        <v>1</v>
      </c>
      <c r="G167">
        <v>4394.5940000000001</v>
      </c>
      <c r="H167" s="6">
        <f>(energia[[#This Row],[Zrodla_wiatrowe]]+energia[[#This Row],[Zrodla_fotowoltaiczne]])</f>
        <v>2056.4380000000001</v>
      </c>
      <c r="I167" s="6">
        <f>I166+energia[[#This Row],[Łączna produkcja]]-energia[[#This Row],[Zapotrzebowanie]]</f>
        <v>269525.2790000001</v>
      </c>
      <c r="J167" t="b">
        <f>IF(energia[[#This Row],[Magazyn]]&lt;0,TRUE,FALSE)</f>
        <v>0</v>
      </c>
    </row>
    <row r="168" spans="1:10" x14ac:dyDescent="0.3">
      <c r="A168" s="1">
        <v>45389</v>
      </c>
      <c r="B168">
        <v>23</v>
      </c>
      <c r="C168">
        <v>2193.1750000000002</v>
      </c>
      <c r="D168">
        <v>0</v>
      </c>
      <c r="E168" t="b">
        <f>IF(energia[[#This Row],[Zrodla_wiatrowe]]&gt;C167,TRUE,FALSE)</f>
        <v>1</v>
      </c>
      <c r="F168">
        <f>IF(energia[[#This Row],[Czy wiatr rosło]],F167+1,1)</f>
        <v>2</v>
      </c>
      <c r="G168">
        <v>2722.509</v>
      </c>
      <c r="H168" s="6">
        <f>(energia[[#This Row],[Zrodla_wiatrowe]]+energia[[#This Row],[Zrodla_fotowoltaiczne]])</f>
        <v>2193.1750000000002</v>
      </c>
      <c r="I168" s="6">
        <f>I167+energia[[#This Row],[Łączna produkcja]]-energia[[#This Row],[Zapotrzebowanie]]</f>
        <v>268995.94500000007</v>
      </c>
      <c r="J168" t="b">
        <f>IF(energia[[#This Row],[Magazyn]]&lt;0,TRUE,FALSE)</f>
        <v>0</v>
      </c>
    </row>
    <row r="169" spans="1:10" x14ac:dyDescent="0.3">
      <c r="A169" s="1">
        <v>45389</v>
      </c>
      <c r="B169">
        <v>24</v>
      </c>
      <c r="C169">
        <v>2213.663</v>
      </c>
      <c r="D169">
        <v>0</v>
      </c>
      <c r="E169" t="b">
        <f>IF(energia[[#This Row],[Zrodla_wiatrowe]]&gt;C168,TRUE,FALSE)</f>
        <v>1</v>
      </c>
      <c r="F169">
        <f>IF(energia[[#This Row],[Czy wiatr rosło]],F168+1,1)</f>
        <v>3</v>
      </c>
      <c r="G169">
        <v>1598.4659999999999</v>
      </c>
      <c r="H169" s="6">
        <f>(energia[[#This Row],[Zrodla_wiatrowe]]+energia[[#This Row],[Zrodla_fotowoltaiczne]])</f>
        <v>2213.663</v>
      </c>
      <c r="I169" s="6">
        <f>I168+energia[[#This Row],[Łączna produkcja]]-energia[[#This Row],[Zapotrzebowanie]]</f>
        <v>269611.14200000005</v>
      </c>
      <c r="J169" t="b">
        <f>IF(energia[[#This Row],[Magazyn]]&lt;0,TRUE,FALSE)</f>
        <v>0</v>
      </c>
    </row>
    <row r="170" spans="1:10" x14ac:dyDescent="0.3">
      <c r="A170" s="1">
        <v>45390</v>
      </c>
      <c r="B170">
        <v>1</v>
      </c>
      <c r="C170">
        <v>2449.7379999999998</v>
      </c>
      <c r="D170">
        <v>0</v>
      </c>
      <c r="E170" t="b">
        <f>IF(energia[[#This Row],[Zrodla_wiatrowe]]&gt;C169,TRUE,FALSE)</f>
        <v>1</v>
      </c>
      <c r="F170">
        <f>IF(energia[[#This Row],[Czy wiatr rosło]],F169+1,1)</f>
        <v>4</v>
      </c>
      <c r="G170">
        <v>1548.144</v>
      </c>
      <c r="H170" s="6">
        <f>(energia[[#This Row],[Zrodla_wiatrowe]]+energia[[#This Row],[Zrodla_fotowoltaiczne]])</f>
        <v>2449.7379999999998</v>
      </c>
      <c r="I170" s="6">
        <f>I169+energia[[#This Row],[Łączna produkcja]]-energia[[#This Row],[Zapotrzebowanie]]</f>
        <v>270512.73600000009</v>
      </c>
      <c r="J170" t="b">
        <f>IF(energia[[#This Row],[Magazyn]]&lt;0,TRUE,FALSE)</f>
        <v>0</v>
      </c>
    </row>
    <row r="171" spans="1:10" x14ac:dyDescent="0.3">
      <c r="A171" s="1">
        <v>45390</v>
      </c>
      <c r="B171">
        <v>2</v>
      </c>
      <c r="C171">
        <v>2901.4879999999998</v>
      </c>
      <c r="D171">
        <v>0</v>
      </c>
      <c r="E171" t="b">
        <f>IF(energia[[#This Row],[Zrodla_wiatrowe]]&gt;C170,TRUE,FALSE)</f>
        <v>1</v>
      </c>
      <c r="F171">
        <f>IF(energia[[#This Row],[Czy wiatr rosło]],F170+1,1)</f>
        <v>5</v>
      </c>
      <c r="G171">
        <v>1327.31</v>
      </c>
      <c r="H171" s="6">
        <f>(energia[[#This Row],[Zrodla_wiatrowe]]+energia[[#This Row],[Zrodla_fotowoltaiczne]])</f>
        <v>2901.4879999999998</v>
      </c>
      <c r="I171" s="6">
        <f>I170+energia[[#This Row],[Łączna produkcja]]-energia[[#This Row],[Zapotrzebowanie]]</f>
        <v>272086.91400000011</v>
      </c>
      <c r="J171" t="b">
        <f>IF(energia[[#This Row],[Magazyn]]&lt;0,TRUE,FALSE)</f>
        <v>0</v>
      </c>
    </row>
    <row r="172" spans="1:10" x14ac:dyDescent="0.3">
      <c r="A172" s="1">
        <v>45390</v>
      </c>
      <c r="B172">
        <v>3</v>
      </c>
      <c r="C172">
        <v>3262.35</v>
      </c>
      <c r="D172">
        <v>0</v>
      </c>
      <c r="E172" t="b">
        <f>IF(energia[[#This Row],[Zrodla_wiatrowe]]&gt;C171,TRUE,FALSE)</f>
        <v>1</v>
      </c>
      <c r="F172">
        <f>IF(energia[[#This Row],[Czy wiatr rosło]],F171+1,1)</f>
        <v>6</v>
      </c>
      <c r="G172">
        <v>1241.415</v>
      </c>
      <c r="H172" s="6">
        <f>(energia[[#This Row],[Zrodla_wiatrowe]]+energia[[#This Row],[Zrodla_fotowoltaiczne]])</f>
        <v>3262.35</v>
      </c>
      <c r="I172" s="6">
        <f>I171+energia[[#This Row],[Łączna produkcja]]-energia[[#This Row],[Zapotrzebowanie]]</f>
        <v>274107.8490000001</v>
      </c>
      <c r="J172" t="b">
        <f>IF(energia[[#This Row],[Magazyn]]&lt;0,TRUE,FALSE)</f>
        <v>0</v>
      </c>
    </row>
    <row r="173" spans="1:10" x14ac:dyDescent="0.3">
      <c r="A173" s="1">
        <v>45390</v>
      </c>
      <c r="B173">
        <v>4</v>
      </c>
      <c r="C173">
        <v>3337.75</v>
      </c>
      <c r="D173">
        <v>0</v>
      </c>
      <c r="E173" t="b">
        <f>IF(energia[[#This Row],[Zrodla_wiatrowe]]&gt;C172,TRUE,FALSE)</f>
        <v>1</v>
      </c>
      <c r="F173">
        <f>IF(energia[[#This Row],[Czy wiatr rosło]],F172+1,1)</f>
        <v>7</v>
      </c>
      <c r="G173">
        <v>1243.9590000000001</v>
      </c>
      <c r="H173" s="6">
        <f>(energia[[#This Row],[Zrodla_wiatrowe]]+energia[[#This Row],[Zrodla_fotowoltaiczne]])</f>
        <v>3337.75</v>
      </c>
      <c r="I173" s="6">
        <f>I172+energia[[#This Row],[Łączna produkcja]]-energia[[#This Row],[Zapotrzebowanie]]</f>
        <v>276201.64000000013</v>
      </c>
      <c r="J173" t="b">
        <f>IF(energia[[#This Row],[Magazyn]]&lt;0,TRUE,FALSE)</f>
        <v>0</v>
      </c>
    </row>
    <row r="174" spans="1:10" x14ac:dyDescent="0.3">
      <c r="A174" s="1">
        <v>45390</v>
      </c>
      <c r="B174">
        <v>5</v>
      </c>
      <c r="C174">
        <v>3526.95</v>
      </c>
      <c r="D174">
        <v>0</v>
      </c>
      <c r="E174" t="b">
        <f>IF(energia[[#This Row],[Zrodla_wiatrowe]]&gt;C173,TRUE,FALSE)</f>
        <v>1</v>
      </c>
      <c r="F174">
        <f>IF(energia[[#This Row],[Czy wiatr rosło]],F173+1,1)</f>
        <v>8</v>
      </c>
      <c r="G174">
        <v>1864.8679999999999</v>
      </c>
      <c r="H174" s="6">
        <f>(energia[[#This Row],[Zrodla_wiatrowe]]+energia[[#This Row],[Zrodla_fotowoltaiczne]])</f>
        <v>3526.95</v>
      </c>
      <c r="I174" s="6">
        <f>I173+energia[[#This Row],[Łączna produkcja]]-energia[[#This Row],[Zapotrzebowanie]]</f>
        <v>277863.72200000013</v>
      </c>
      <c r="J174" t="b">
        <f>IF(energia[[#This Row],[Magazyn]]&lt;0,TRUE,FALSE)</f>
        <v>0</v>
      </c>
    </row>
    <row r="175" spans="1:10" x14ac:dyDescent="0.3">
      <c r="A175" s="1">
        <v>45390</v>
      </c>
      <c r="B175">
        <v>6</v>
      </c>
      <c r="C175">
        <v>3359.0880000000002</v>
      </c>
      <c r="D175">
        <v>5.45</v>
      </c>
      <c r="E175" t="b">
        <f>IF(energia[[#This Row],[Zrodla_wiatrowe]]&gt;C174,TRUE,FALSE)</f>
        <v>0</v>
      </c>
      <c r="F175">
        <f>IF(energia[[#This Row],[Czy wiatr rosło]],F174+1,1)</f>
        <v>1</v>
      </c>
      <c r="G175">
        <v>3088.2840000000001</v>
      </c>
      <c r="H175" s="6">
        <f>(energia[[#This Row],[Zrodla_wiatrowe]]+energia[[#This Row],[Zrodla_fotowoltaiczne]])</f>
        <v>3364.538</v>
      </c>
      <c r="I175" s="6">
        <f>I174+energia[[#This Row],[Łączna produkcja]]-energia[[#This Row],[Zapotrzebowanie]]</f>
        <v>278139.97600000014</v>
      </c>
      <c r="J175" t="b">
        <f>IF(energia[[#This Row],[Magazyn]]&lt;0,TRUE,FALSE)</f>
        <v>0</v>
      </c>
    </row>
    <row r="176" spans="1:10" x14ac:dyDescent="0.3">
      <c r="A176" s="1">
        <v>45390</v>
      </c>
      <c r="B176">
        <v>7</v>
      </c>
      <c r="C176">
        <v>3238.2379999999998</v>
      </c>
      <c r="D176">
        <v>252.85</v>
      </c>
      <c r="E176" t="b">
        <f>IF(energia[[#This Row],[Zrodla_wiatrowe]]&gt;C175,TRUE,FALSE)</f>
        <v>0</v>
      </c>
      <c r="F176">
        <f>IF(energia[[#This Row],[Czy wiatr rosło]],F175+1,1)</f>
        <v>1</v>
      </c>
      <c r="G176">
        <v>4206.9690000000001</v>
      </c>
      <c r="H176" s="6">
        <f>(energia[[#This Row],[Zrodla_wiatrowe]]+energia[[#This Row],[Zrodla_fotowoltaiczne]])</f>
        <v>3491.0879999999997</v>
      </c>
      <c r="I176" s="6">
        <f>I175+energia[[#This Row],[Łączna produkcja]]-energia[[#This Row],[Zapotrzebowanie]]</f>
        <v>277424.09500000015</v>
      </c>
      <c r="J176" t="b">
        <f>IF(energia[[#This Row],[Magazyn]]&lt;0,TRUE,FALSE)</f>
        <v>0</v>
      </c>
    </row>
    <row r="177" spans="1:10" x14ac:dyDescent="0.3">
      <c r="A177" s="1">
        <v>45390</v>
      </c>
      <c r="B177">
        <v>8</v>
      </c>
      <c r="C177">
        <v>2777.2130000000002</v>
      </c>
      <c r="D177">
        <v>1385.5250000000001</v>
      </c>
      <c r="E177" t="b">
        <f>IF(energia[[#This Row],[Zrodla_wiatrowe]]&gt;C176,TRUE,FALSE)</f>
        <v>0</v>
      </c>
      <c r="F177">
        <f>IF(energia[[#This Row],[Czy wiatr rosło]],F176+1,1)</f>
        <v>1</v>
      </c>
      <c r="G177">
        <v>6555.7349999999997</v>
      </c>
      <c r="H177" s="6">
        <f>(energia[[#This Row],[Zrodla_wiatrowe]]+energia[[#This Row],[Zrodla_fotowoltaiczne]])</f>
        <v>4162.7380000000003</v>
      </c>
      <c r="I177" s="6">
        <f>I176+energia[[#This Row],[Łączna produkcja]]-energia[[#This Row],[Zapotrzebowanie]]</f>
        <v>275031.09800000017</v>
      </c>
      <c r="J177" t="b">
        <f>IF(energia[[#This Row],[Magazyn]]&lt;0,TRUE,FALSE)</f>
        <v>0</v>
      </c>
    </row>
    <row r="178" spans="1:10" x14ac:dyDescent="0.3">
      <c r="A178" s="1">
        <v>45390</v>
      </c>
      <c r="B178">
        <v>9</v>
      </c>
      <c r="C178">
        <v>2223.1379999999999</v>
      </c>
      <c r="D178">
        <v>3341.9250000000002</v>
      </c>
      <c r="E178" t="b">
        <f>IF(energia[[#This Row],[Zrodla_wiatrowe]]&gt;C177,TRUE,FALSE)</f>
        <v>0</v>
      </c>
      <c r="F178">
        <f>IF(energia[[#This Row],[Czy wiatr rosło]],F177+1,1)</f>
        <v>1</v>
      </c>
      <c r="G178">
        <v>6969.4579999999996</v>
      </c>
      <c r="H178" s="6">
        <f>(energia[[#This Row],[Zrodla_wiatrowe]]+energia[[#This Row],[Zrodla_fotowoltaiczne]])</f>
        <v>5565.0630000000001</v>
      </c>
      <c r="I178" s="6">
        <f>I177+energia[[#This Row],[Łączna produkcja]]-energia[[#This Row],[Zapotrzebowanie]]</f>
        <v>273626.70300000021</v>
      </c>
      <c r="J178" t="b">
        <f>IF(energia[[#This Row],[Magazyn]]&lt;0,TRUE,FALSE)</f>
        <v>0</v>
      </c>
    </row>
    <row r="179" spans="1:10" x14ac:dyDescent="0.3">
      <c r="A179" s="1">
        <v>45390</v>
      </c>
      <c r="B179">
        <v>10</v>
      </c>
      <c r="C179">
        <v>1588.538</v>
      </c>
      <c r="D179">
        <v>5432.875</v>
      </c>
      <c r="E179" t="b">
        <f>IF(energia[[#This Row],[Zrodla_wiatrowe]]&gt;C178,TRUE,FALSE)</f>
        <v>0</v>
      </c>
      <c r="F179">
        <f>IF(energia[[#This Row],[Czy wiatr rosło]],F178+1,1)</f>
        <v>1</v>
      </c>
      <c r="G179">
        <v>7778.7460000000001</v>
      </c>
      <c r="H179" s="6">
        <f>(energia[[#This Row],[Zrodla_wiatrowe]]+energia[[#This Row],[Zrodla_fotowoltaiczne]])</f>
        <v>7021.4130000000005</v>
      </c>
      <c r="I179" s="6">
        <f>I178+energia[[#This Row],[Łączna produkcja]]-energia[[#This Row],[Zapotrzebowanie]]</f>
        <v>272869.37000000023</v>
      </c>
      <c r="J179" t="b">
        <f>IF(energia[[#This Row],[Magazyn]]&lt;0,TRUE,FALSE)</f>
        <v>0</v>
      </c>
    </row>
    <row r="180" spans="1:10" x14ac:dyDescent="0.3">
      <c r="A180" s="1">
        <v>45390</v>
      </c>
      <c r="B180">
        <v>11</v>
      </c>
      <c r="C180">
        <v>915.98800000000006</v>
      </c>
      <c r="D180">
        <v>7068.7129999999997</v>
      </c>
      <c r="E180" t="b">
        <f>IF(energia[[#This Row],[Zrodla_wiatrowe]]&gt;C179,TRUE,FALSE)</f>
        <v>0</v>
      </c>
      <c r="F180">
        <f>IF(energia[[#This Row],[Czy wiatr rosło]],F179+1,1)</f>
        <v>1</v>
      </c>
      <c r="G180">
        <v>7756.8909999999996</v>
      </c>
      <c r="H180" s="6">
        <f>(energia[[#This Row],[Zrodla_wiatrowe]]+energia[[#This Row],[Zrodla_fotowoltaiczne]])</f>
        <v>7984.701</v>
      </c>
      <c r="I180" s="6">
        <f>I179+energia[[#This Row],[Łączna produkcja]]-energia[[#This Row],[Zapotrzebowanie]]</f>
        <v>273097.18000000023</v>
      </c>
      <c r="J180" t="b">
        <f>IF(energia[[#This Row],[Magazyn]]&lt;0,TRUE,FALSE)</f>
        <v>0</v>
      </c>
    </row>
    <row r="181" spans="1:10" x14ac:dyDescent="0.3">
      <c r="A181" s="1">
        <v>45390</v>
      </c>
      <c r="B181">
        <v>12</v>
      </c>
      <c r="C181">
        <v>832.625</v>
      </c>
      <c r="D181">
        <v>8205.9</v>
      </c>
      <c r="E181" t="b">
        <f>IF(energia[[#This Row],[Zrodla_wiatrowe]]&gt;C180,TRUE,FALSE)</f>
        <v>0</v>
      </c>
      <c r="F181">
        <f>IF(energia[[#This Row],[Czy wiatr rosło]],F180+1,1)</f>
        <v>1</v>
      </c>
      <c r="G181">
        <v>7885.7969999999996</v>
      </c>
      <c r="H181" s="6">
        <f>(energia[[#This Row],[Zrodla_wiatrowe]]+energia[[#This Row],[Zrodla_fotowoltaiczne]])</f>
        <v>9038.5249999999996</v>
      </c>
      <c r="I181" s="6">
        <f>I180+energia[[#This Row],[Łączna produkcja]]-energia[[#This Row],[Zapotrzebowanie]]</f>
        <v>274249.90800000023</v>
      </c>
      <c r="J181" t="b">
        <f>IF(energia[[#This Row],[Magazyn]]&lt;0,TRUE,FALSE)</f>
        <v>0</v>
      </c>
    </row>
    <row r="182" spans="1:10" x14ac:dyDescent="0.3">
      <c r="A182" s="1">
        <v>45390</v>
      </c>
      <c r="B182">
        <v>13</v>
      </c>
      <c r="C182">
        <v>892.85</v>
      </c>
      <c r="D182">
        <v>8629.9750000000004</v>
      </c>
      <c r="E182" t="b">
        <f>IF(energia[[#This Row],[Zrodla_wiatrowe]]&gt;C181,TRUE,FALSE)</f>
        <v>1</v>
      </c>
      <c r="F182">
        <f>IF(energia[[#This Row],[Czy wiatr rosło]],F181+1,1)</f>
        <v>2</v>
      </c>
      <c r="G182">
        <v>8215.3729999999996</v>
      </c>
      <c r="H182" s="6">
        <f>(energia[[#This Row],[Zrodla_wiatrowe]]+energia[[#This Row],[Zrodla_fotowoltaiczne]])</f>
        <v>9522.8250000000007</v>
      </c>
      <c r="I182" s="6">
        <f>I181+energia[[#This Row],[Łączna produkcja]]-energia[[#This Row],[Zapotrzebowanie]]</f>
        <v>275557.36000000022</v>
      </c>
      <c r="J182" t="b">
        <f>IF(energia[[#This Row],[Magazyn]]&lt;0,TRUE,FALSE)</f>
        <v>0</v>
      </c>
    </row>
    <row r="183" spans="1:10" x14ac:dyDescent="0.3">
      <c r="A183" s="1">
        <v>45390</v>
      </c>
      <c r="B183">
        <v>14</v>
      </c>
      <c r="C183">
        <v>870.73800000000006</v>
      </c>
      <c r="D183">
        <v>8919.8880000000008</v>
      </c>
      <c r="E183" t="b">
        <f>IF(energia[[#This Row],[Zrodla_wiatrowe]]&gt;C182,TRUE,FALSE)</f>
        <v>0</v>
      </c>
      <c r="F183">
        <f>IF(energia[[#This Row],[Czy wiatr rosło]],F182+1,1)</f>
        <v>1</v>
      </c>
      <c r="G183">
        <v>7761.3850000000002</v>
      </c>
      <c r="H183" s="6">
        <f>(energia[[#This Row],[Zrodla_wiatrowe]]+energia[[#This Row],[Zrodla_fotowoltaiczne]])</f>
        <v>9790.6260000000002</v>
      </c>
      <c r="I183" s="6">
        <f>I182+energia[[#This Row],[Łączna produkcja]]-energia[[#This Row],[Zapotrzebowanie]]</f>
        <v>277586.6010000002</v>
      </c>
      <c r="J183" t="b">
        <f>IF(energia[[#This Row],[Magazyn]]&lt;0,TRUE,FALSE)</f>
        <v>0</v>
      </c>
    </row>
    <row r="184" spans="1:10" x14ac:dyDescent="0.3">
      <c r="A184" s="1">
        <v>45390</v>
      </c>
      <c r="B184">
        <v>15</v>
      </c>
      <c r="C184">
        <v>959.05</v>
      </c>
      <c r="D184">
        <v>8460.6630000000005</v>
      </c>
      <c r="E184" t="b">
        <f>IF(energia[[#This Row],[Zrodla_wiatrowe]]&gt;C183,TRUE,FALSE)</f>
        <v>1</v>
      </c>
      <c r="F184">
        <f>IF(energia[[#This Row],[Czy wiatr rosło]],F183+1,1)</f>
        <v>2</v>
      </c>
      <c r="G184">
        <v>8001.2209999999995</v>
      </c>
      <c r="H184" s="6">
        <f>(energia[[#This Row],[Zrodla_wiatrowe]]+energia[[#This Row],[Zrodla_fotowoltaiczne]])</f>
        <v>9419.7129999999997</v>
      </c>
      <c r="I184" s="6">
        <f>I183+energia[[#This Row],[Łączna produkcja]]-energia[[#This Row],[Zapotrzebowanie]]</f>
        <v>279005.09300000017</v>
      </c>
      <c r="J184" t="b">
        <f>IF(energia[[#This Row],[Magazyn]]&lt;0,TRUE,FALSE)</f>
        <v>0</v>
      </c>
    </row>
    <row r="185" spans="1:10" x14ac:dyDescent="0.3">
      <c r="A185" s="1">
        <v>45390</v>
      </c>
      <c r="B185">
        <v>16</v>
      </c>
      <c r="C185">
        <v>1044.413</v>
      </c>
      <c r="D185">
        <v>7095.7250000000004</v>
      </c>
      <c r="E185" t="b">
        <f>IF(energia[[#This Row],[Zrodla_wiatrowe]]&gt;C184,TRUE,FALSE)</f>
        <v>1</v>
      </c>
      <c r="F185">
        <f>IF(energia[[#This Row],[Czy wiatr rosło]],F184+1,1)</f>
        <v>3</v>
      </c>
      <c r="G185">
        <v>8058.2150000000001</v>
      </c>
      <c r="H185" s="6">
        <f>(energia[[#This Row],[Zrodla_wiatrowe]]+energia[[#This Row],[Zrodla_fotowoltaiczne]])</f>
        <v>8140.1380000000008</v>
      </c>
      <c r="I185" s="6">
        <f>I184+energia[[#This Row],[Łączna produkcja]]-energia[[#This Row],[Zapotrzebowanie]]</f>
        <v>279087.01600000012</v>
      </c>
      <c r="J185" t="b">
        <f>IF(energia[[#This Row],[Magazyn]]&lt;0,TRUE,FALSE)</f>
        <v>0</v>
      </c>
    </row>
    <row r="186" spans="1:10" x14ac:dyDescent="0.3">
      <c r="A186" s="1">
        <v>45390</v>
      </c>
      <c r="B186">
        <v>17</v>
      </c>
      <c r="C186">
        <v>1297.075</v>
      </c>
      <c r="D186">
        <v>5410.875</v>
      </c>
      <c r="E186" t="b">
        <f>IF(energia[[#This Row],[Zrodla_wiatrowe]]&gt;C185,TRUE,FALSE)</f>
        <v>1</v>
      </c>
      <c r="F186">
        <f>IF(energia[[#This Row],[Czy wiatr rosło]],F185+1,1)</f>
        <v>4</v>
      </c>
      <c r="G186">
        <v>7775.7719999999999</v>
      </c>
      <c r="H186" s="6">
        <f>(energia[[#This Row],[Zrodla_wiatrowe]]+energia[[#This Row],[Zrodla_fotowoltaiczne]])</f>
        <v>6707.95</v>
      </c>
      <c r="I186" s="6">
        <f>I185+energia[[#This Row],[Łączna produkcja]]-energia[[#This Row],[Zapotrzebowanie]]</f>
        <v>278019.19400000013</v>
      </c>
      <c r="J186" t="b">
        <f>IF(energia[[#This Row],[Magazyn]]&lt;0,TRUE,FALSE)</f>
        <v>0</v>
      </c>
    </row>
    <row r="187" spans="1:10" x14ac:dyDescent="0.3">
      <c r="A187" s="1">
        <v>45390</v>
      </c>
      <c r="B187">
        <v>18</v>
      </c>
      <c r="C187">
        <v>1413.0630000000001</v>
      </c>
      <c r="D187">
        <v>3017.8629999999998</v>
      </c>
      <c r="E187" t="b">
        <f>IF(energia[[#This Row],[Zrodla_wiatrowe]]&gt;C186,TRUE,FALSE)</f>
        <v>1</v>
      </c>
      <c r="F187">
        <f>IF(energia[[#This Row],[Czy wiatr rosło]],F186+1,1)</f>
        <v>5</v>
      </c>
      <c r="G187">
        <v>7139.5</v>
      </c>
      <c r="H187" s="6">
        <f>(energia[[#This Row],[Zrodla_wiatrowe]]+energia[[#This Row],[Zrodla_fotowoltaiczne]])</f>
        <v>4430.9259999999995</v>
      </c>
      <c r="I187" s="6">
        <f>I186+energia[[#This Row],[Łączna produkcja]]-energia[[#This Row],[Zapotrzebowanie]]</f>
        <v>275310.62000000011</v>
      </c>
      <c r="J187" t="b">
        <f>IF(energia[[#This Row],[Magazyn]]&lt;0,TRUE,FALSE)</f>
        <v>0</v>
      </c>
    </row>
    <row r="188" spans="1:10" x14ac:dyDescent="0.3">
      <c r="A188" s="1">
        <v>45390</v>
      </c>
      <c r="B188">
        <v>19</v>
      </c>
      <c r="C188">
        <v>1538.7249999999999</v>
      </c>
      <c r="D188">
        <v>1106.213</v>
      </c>
      <c r="E188" t="b">
        <f>IF(energia[[#This Row],[Zrodla_wiatrowe]]&gt;C187,TRUE,FALSE)</f>
        <v>1</v>
      </c>
      <c r="F188">
        <f>IF(energia[[#This Row],[Czy wiatr rosło]],F187+1,1)</f>
        <v>6</v>
      </c>
      <c r="G188">
        <v>6380.1319999999996</v>
      </c>
      <c r="H188" s="6">
        <f>(energia[[#This Row],[Zrodla_wiatrowe]]+energia[[#This Row],[Zrodla_fotowoltaiczne]])</f>
        <v>2644.9380000000001</v>
      </c>
      <c r="I188" s="6">
        <f>I187+energia[[#This Row],[Łączna produkcja]]-energia[[#This Row],[Zapotrzebowanie]]</f>
        <v>271575.42600000015</v>
      </c>
      <c r="J188" t="b">
        <f>IF(energia[[#This Row],[Magazyn]]&lt;0,TRUE,FALSE)</f>
        <v>0</v>
      </c>
    </row>
    <row r="189" spans="1:10" x14ac:dyDescent="0.3">
      <c r="A189" s="1">
        <v>45390</v>
      </c>
      <c r="B189">
        <v>20</v>
      </c>
      <c r="C189">
        <v>1852.038</v>
      </c>
      <c r="D189">
        <v>256.01299999999998</v>
      </c>
      <c r="E189" t="b">
        <f>IF(energia[[#This Row],[Zrodla_wiatrowe]]&gt;C188,TRUE,FALSE)</f>
        <v>1</v>
      </c>
      <c r="F189">
        <f>IF(energia[[#This Row],[Czy wiatr rosło]],F188+1,1)</f>
        <v>7</v>
      </c>
      <c r="G189">
        <v>6207.4040000000005</v>
      </c>
      <c r="H189" s="6">
        <f>(energia[[#This Row],[Zrodla_wiatrowe]]+energia[[#This Row],[Zrodla_fotowoltaiczne]])</f>
        <v>2108.0509999999999</v>
      </c>
      <c r="I189" s="6">
        <f>I188+energia[[#This Row],[Łączna produkcja]]-energia[[#This Row],[Zapotrzebowanie]]</f>
        <v>267476.07300000015</v>
      </c>
      <c r="J189" t="b">
        <f>IF(energia[[#This Row],[Magazyn]]&lt;0,TRUE,FALSE)</f>
        <v>0</v>
      </c>
    </row>
    <row r="190" spans="1:10" x14ac:dyDescent="0.3">
      <c r="A190" s="1">
        <v>45390</v>
      </c>
      <c r="B190">
        <v>21</v>
      </c>
      <c r="C190">
        <v>2617.7249999999999</v>
      </c>
      <c r="D190">
        <v>0</v>
      </c>
      <c r="E190" t="b">
        <f>IF(energia[[#This Row],[Zrodla_wiatrowe]]&gt;C189,TRUE,FALSE)</f>
        <v>1</v>
      </c>
      <c r="F190">
        <f>IF(energia[[#This Row],[Czy wiatr rosło]],F189+1,1)</f>
        <v>8</v>
      </c>
      <c r="G190">
        <v>4823.2790000000005</v>
      </c>
      <c r="H190" s="6">
        <f>(energia[[#This Row],[Zrodla_wiatrowe]]+energia[[#This Row],[Zrodla_fotowoltaiczne]])</f>
        <v>2617.7249999999999</v>
      </c>
      <c r="I190" s="6">
        <f>I189+energia[[#This Row],[Łączna produkcja]]-energia[[#This Row],[Zapotrzebowanie]]</f>
        <v>265270.51900000015</v>
      </c>
      <c r="J190" t="b">
        <f>IF(energia[[#This Row],[Magazyn]]&lt;0,TRUE,FALSE)</f>
        <v>0</v>
      </c>
    </row>
    <row r="191" spans="1:10" x14ac:dyDescent="0.3">
      <c r="A191" s="1">
        <v>45390</v>
      </c>
      <c r="B191">
        <v>22</v>
      </c>
      <c r="C191">
        <v>3282.9</v>
      </c>
      <c r="D191">
        <v>0</v>
      </c>
      <c r="E191" t="b">
        <f>IF(energia[[#This Row],[Zrodla_wiatrowe]]&gt;C190,TRUE,FALSE)</f>
        <v>1</v>
      </c>
      <c r="F191">
        <f>IF(energia[[#This Row],[Czy wiatr rosło]],F190+1,1)</f>
        <v>9</v>
      </c>
      <c r="G191">
        <v>4655.567</v>
      </c>
      <c r="H191" s="6">
        <f>(energia[[#This Row],[Zrodla_wiatrowe]]+energia[[#This Row],[Zrodla_fotowoltaiczne]])</f>
        <v>3282.9</v>
      </c>
      <c r="I191" s="6">
        <f>I190+energia[[#This Row],[Łączna produkcja]]-energia[[#This Row],[Zapotrzebowanie]]</f>
        <v>263897.85200000019</v>
      </c>
      <c r="J191" t="b">
        <f>IF(energia[[#This Row],[Magazyn]]&lt;0,TRUE,FALSE)</f>
        <v>0</v>
      </c>
    </row>
    <row r="192" spans="1:10" x14ac:dyDescent="0.3">
      <c r="A192" s="1">
        <v>45390</v>
      </c>
      <c r="B192">
        <v>23</v>
      </c>
      <c r="C192">
        <v>3672.3</v>
      </c>
      <c r="D192">
        <v>0</v>
      </c>
      <c r="E192" t="b">
        <f>IF(energia[[#This Row],[Zrodla_wiatrowe]]&gt;C191,TRUE,FALSE)</f>
        <v>1</v>
      </c>
      <c r="F192">
        <f>IF(energia[[#This Row],[Czy wiatr rosło]],F191+1,1)</f>
        <v>10</v>
      </c>
      <c r="G192">
        <v>2884.1849999999999</v>
      </c>
      <c r="H192" s="6">
        <f>(energia[[#This Row],[Zrodla_wiatrowe]]+energia[[#This Row],[Zrodla_fotowoltaiczne]])</f>
        <v>3672.3</v>
      </c>
      <c r="I192" s="6">
        <f>I191+energia[[#This Row],[Łączna produkcja]]-energia[[#This Row],[Zapotrzebowanie]]</f>
        <v>264685.96700000018</v>
      </c>
      <c r="J192" t="b">
        <f>IF(energia[[#This Row],[Magazyn]]&lt;0,TRUE,FALSE)</f>
        <v>0</v>
      </c>
    </row>
    <row r="193" spans="1:10" x14ac:dyDescent="0.3">
      <c r="A193" s="1">
        <v>45390</v>
      </c>
      <c r="B193">
        <v>24</v>
      </c>
      <c r="C193">
        <v>3816.875</v>
      </c>
      <c r="D193">
        <v>0</v>
      </c>
      <c r="E193" t="b">
        <f>IF(energia[[#This Row],[Zrodla_wiatrowe]]&gt;C192,TRUE,FALSE)</f>
        <v>1</v>
      </c>
      <c r="F193">
        <f>IF(energia[[#This Row],[Czy wiatr rosło]],F192+1,1)</f>
        <v>11</v>
      </c>
      <c r="G193">
        <v>1693.3910000000001</v>
      </c>
      <c r="H193" s="6">
        <f>(energia[[#This Row],[Zrodla_wiatrowe]]+energia[[#This Row],[Zrodla_fotowoltaiczne]])</f>
        <v>3816.875</v>
      </c>
      <c r="I193" s="6">
        <f>I192+energia[[#This Row],[Łączna produkcja]]-energia[[#This Row],[Zapotrzebowanie]]</f>
        <v>266809.45100000018</v>
      </c>
      <c r="J193" t="b">
        <f>IF(energia[[#This Row],[Magazyn]]&lt;0,TRUE,FALSE)</f>
        <v>0</v>
      </c>
    </row>
    <row r="194" spans="1:10" x14ac:dyDescent="0.3">
      <c r="A194" s="1">
        <v>45391</v>
      </c>
      <c r="B194">
        <v>1</v>
      </c>
      <c r="C194">
        <v>3853.125</v>
      </c>
      <c r="D194">
        <v>0</v>
      </c>
      <c r="E194" t="b">
        <f>IF(energia[[#This Row],[Zrodla_wiatrowe]]&gt;C193,TRUE,FALSE)</f>
        <v>1</v>
      </c>
      <c r="F194">
        <f>IF(energia[[#This Row],[Czy wiatr rosło]],F193+1,1)</f>
        <v>12</v>
      </c>
      <c r="G194">
        <v>1692.2660000000001</v>
      </c>
      <c r="H194" s="6">
        <f>(energia[[#This Row],[Zrodla_wiatrowe]]+energia[[#This Row],[Zrodla_fotowoltaiczne]])</f>
        <v>3853.125</v>
      </c>
      <c r="I194" s="6">
        <f>I193+energia[[#This Row],[Łączna produkcja]]-energia[[#This Row],[Zapotrzebowanie]]</f>
        <v>268970.31000000017</v>
      </c>
      <c r="J194" t="b">
        <f>IF(energia[[#This Row],[Magazyn]]&lt;0,TRUE,FALSE)</f>
        <v>0</v>
      </c>
    </row>
    <row r="195" spans="1:10" x14ac:dyDescent="0.3">
      <c r="A195" s="1">
        <v>45391</v>
      </c>
      <c r="B195">
        <v>2</v>
      </c>
      <c r="C195">
        <v>3738.3249999999998</v>
      </c>
      <c r="D195">
        <v>0</v>
      </c>
      <c r="E195" t="b">
        <f>IF(energia[[#This Row],[Zrodla_wiatrowe]]&gt;C194,TRUE,FALSE)</f>
        <v>0</v>
      </c>
      <c r="F195">
        <f>IF(energia[[#This Row],[Czy wiatr rosło]],F194+1,1)</f>
        <v>1</v>
      </c>
      <c r="G195">
        <v>1450.874</v>
      </c>
      <c r="H195" s="6">
        <f>(energia[[#This Row],[Zrodla_wiatrowe]]+energia[[#This Row],[Zrodla_fotowoltaiczne]])</f>
        <v>3738.3249999999998</v>
      </c>
      <c r="I195" s="6">
        <f>I194+energia[[#This Row],[Łączna produkcja]]-energia[[#This Row],[Zapotrzebowanie]]</f>
        <v>271257.76100000017</v>
      </c>
      <c r="J195" t="b">
        <f>IF(energia[[#This Row],[Magazyn]]&lt;0,TRUE,FALSE)</f>
        <v>0</v>
      </c>
    </row>
    <row r="196" spans="1:10" x14ac:dyDescent="0.3">
      <c r="A196" s="1">
        <v>45391</v>
      </c>
      <c r="B196">
        <v>3</v>
      </c>
      <c r="C196">
        <v>3232.5749999999998</v>
      </c>
      <c r="D196">
        <v>0</v>
      </c>
      <c r="E196" t="b">
        <f>IF(energia[[#This Row],[Zrodla_wiatrowe]]&gt;C195,TRUE,FALSE)</f>
        <v>0</v>
      </c>
      <c r="F196">
        <f>IF(energia[[#This Row],[Czy wiatr rosło]],F195+1,1)</f>
        <v>1</v>
      </c>
      <c r="G196">
        <v>1356.982</v>
      </c>
      <c r="H196" s="6">
        <f>(energia[[#This Row],[Zrodla_wiatrowe]]+energia[[#This Row],[Zrodla_fotowoltaiczne]])</f>
        <v>3232.5749999999998</v>
      </c>
      <c r="I196" s="6">
        <f>I195+energia[[#This Row],[Łączna produkcja]]-energia[[#This Row],[Zapotrzebowanie]]</f>
        <v>273133.35400000017</v>
      </c>
      <c r="J196" t="b">
        <f>IF(energia[[#This Row],[Magazyn]]&lt;0,TRUE,FALSE)</f>
        <v>0</v>
      </c>
    </row>
    <row r="197" spans="1:10" x14ac:dyDescent="0.3">
      <c r="A197" s="1">
        <v>45391</v>
      </c>
      <c r="B197">
        <v>4</v>
      </c>
      <c r="C197">
        <v>2819.7629999999999</v>
      </c>
      <c r="D197">
        <v>0</v>
      </c>
      <c r="E197" t="b">
        <f>IF(energia[[#This Row],[Zrodla_wiatrowe]]&gt;C196,TRUE,FALSE)</f>
        <v>0</v>
      </c>
      <c r="F197">
        <f>IF(energia[[#This Row],[Czy wiatr rosło]],F196+1,1)</f>
        <v>1</v>
      </c>
      <c r="G197">
        <v>1359.7629999999999</v>
      </c>
      <c r="H197" s="6">
        <f>(energia[[#This Row],[Zrodla_wiatrowe]]+energia[[#This Row],[Zrodla_fotowoltaiczne]])</f>
        <v>2819.7629999999999</v>
      </c>
      <c r="I197" s="6">
        <f>I196+energia[[#This Row],[Łączna produkcja]]-energia[[#This Row],[Zapotrzebowanie]]</f>
        <v>274593.35400000017</v>
      </c>
      <c r="J197" t="b">
        <f>IF(energia[[#This Row],[Magazyn]]&lt;0,TRUE,FALSE)</f>
        <v>0</v>
      </c>
    </row>
    <row r="198" spans="1:10" x14ac:dyDescent="0.3">
      <c r="A198" s="1">
        <v>45391</v>
      </c>
      <c r="B198">
        <v>5</v>
      </c>
      <c r="C198">
        <v>2528.3130000000001</v>
      </c>
      <c r="D198">
        <v>0</v>
      </c>
      <c r="E198" t="b">
        <f>IF(energia[[#This Row],[Zrodla_wiatrowe]]&gt;C197,TRUE,FALSE)</f>
        <v>0</v>
      </c>
      <c r="F198">
        <f>IF(energia[[#This Row],[Czy wiatr rosło]],F197+1,1)</f>
        <v>1</v>
      </c>
      <c r="G198">
        <v>1674.7449999999999</v>
      </c>
      <c r="H198" s="6">
        <f>(energia[[#This Row],[Zrodla_wiatrowe]]+energia[[#This Row],[Zrodla_fotowoltaiczne]])</f>
        <v>2528.3130000000001</v>
      </c>
      <c r="I198" s="6">
        <f>I197+energia[[#This Row],[Łączna produkcja]]-energia[[#This Row],[Zapotrzebowanie]]</f>
        <v>275446.9220000002</v>
      </c>
      <c r="J198" t="b">
        <f>IF(energia[[#This Row],[Magazyn]]&lt;0,TRUE,FALSE)</f>
        <v>0</v>
      </c>
    </row>
    <row r="199" spans="1:10" x14ac:dyDescent="0.3">
      <c r="A199" s="1">
        <v>45391</v>
      </c>
      <c r="B199">
        <v>6</v>
      </c>
      <c r="C199">
        <v>2277.6129999999998</v>
      </c>
      <c r="D199">
        <v>49.713000000000001</v>
      </c>
      <c r="E199" t="b">
        <f>IF(energia[[#This Row],[Zrodla_wiatrowe]]&gt;C198,TRUE,FALSE)</f>
        <v>0</v>
      </c>
      <c r="F199">
        <f>IF(energia[[#This Row],[Czy wiatr rosło]],F198+1,1)</f>
        <v>1</v>
      </c>
      <c r="G199">
        <v>3314.9569999999999</v>
      </c>
      <c r="H199" s="6">
        <f>(energia[[#This Row],[Zrodla_wiatrowe]]+energia[[#This Row],[Zrodla_fotowoltaiczne]])</f>
        <v>2327.326</v>
      </c>
      <c r="I199" s="6">
        <f>I198+energia[[#This Row],[Łączna produkcja]]-energia[[#This Row],[Zapotrzebowanie]]</f>
        <v>274459.2910000002</v>
      </c>
      <c r="J199" t="b">
        <f>IF(energia[[#This Row],[Magazyn]]&lt;0,TRUE,FALSE)</f>
        <v>0</v>
      </c>
    </row>
    <row r="200" spans="1:10" x14ac:dyDescent="0.3">
      <c r="A200" s="1">
        <v>45391</v>
      </c>
      <c r="B200">
        <v>7</v>
      </c>
      <c r="C200">
        <v>1961.788</v>
      </c>
      <c r="D200">
        <v>451.45</v>
      </c>
      <c r="E200" t="b">
        <f>IF(energia[[#This Row],[Zrodla_wiatrowe]]&gt;C199,TRUE,FALSE)</f>
        <v>0</v>
      </c>
      <c r="F200">
        <f>IF(energia[[#This Row],[Czy wiatr rosło]],F199+1,1)</f>
        <v>1</v>
      </c>
      <c r="G200">
        <v>4515.7510000000002</v>
      </c>
      <c r="H200" s="6">
        <f>(energia[[#This Row],[Zrodla_wiatrowe]]+energia[[#This Row],[Zrodla_fotowoltaiczne]])</f>
        <v>2413.2379999999998</v>
      </c>
      <c r="I200" s="6">
        <f>I199+energia[[#This Row],[Łączna produkcja]]-energia[[#This Row],[Zapotrzebowanie]]</f>
        <v>272356.77800000022</v>
      </c>
      <c r="J200" t="b">
        <f>IF(energia[[#This Row],[Magazyn]]&lt;0,TRUE,FALSE)</f>
        <v>0</v>
      </c>
    </row>
    <row r="201" spans="1:10" x14ac:dyDescent="0.3">
      <c r="A201" s="1">
        <v>45391</v>
      </c>
      <c r="B201">
        <v>8</v>
      </c>
      <c r="C201">
        <v>1698.2750000000001</v>
      </c>
      <c r="D201">
        <v>1940.575</v>
      </c>
      <c r="E201" t="b">
        <f>IF(energia[[#This Row],[Zrodla_wiatrowe]]&gt;C200,TRUE,FALSE)</f>
        <v>0</v>
      </c>
      <c r="F201">
        <f>IF(energia[[#This Row],[Czy wiatr rosło]],F200+1,1)</f>
        <v>1</v>
      </c>
      <c r="G201">
        <v>6679.4690000000001</v>
      </c>
      <c r="H201" s="6">
        <f>(energia[[#This Row],[Zrodla_wiatrowe]]+energia[[#This Row],[Zrodla_fotowoltaiczne]])</f>
        <v>3638.8500000000004</v>
      </c>
      <c r="I201" s="6">
        <f>I200+energia[[#This Row],[Łączna produkcja]]-energia[[#This Row],[Zapotrzebowanie]]</f>
        <v>269316.15900000022</v>
      </c>
      <c r="J201" t="b">
        <f>IF(energia[[#This Row],[Magazyn]]&lt;0,TRUE,FALSE)</f>
        <v>0</v>
      </c>
    </row>
    <row r="202" spans="1:10" x14ac:dyDescent="0.3">
      <c r="A202" s="1">
        <v>45391</v>
      </c>
      <c r="B202">
        <v>9</v>
      </c>
      <c r="C202">
        <v>1245.0999999999999</v>
      </c>
      <c r="D202">
        <v>4466.875</v>
      </c>
      <c r="E202" t="b">
        <f>IF(energia[[#This Row],[Zrodla_wiatrowe]]&gt;C201,TRUE,FALSE)</f>
        <v>0</v>
      </c>
      <c r="F202">
        <f>IF(energia[[#This Row],[Czy wiatr rosło]],F201+1,1)</f>
        <v>1</v>
      </c>
      <c r="G202">
        <v>7481</v>
      </c>
      <c r="H202" s="6">
        <f>(energia[[#This Row],[Zrodla_wiatrowe]]+energia[[#This Row],[Zrodla_fotowoltaiczne]])</f>
        <v>5711.9750000000004</v>
      </c>
      <c r="I202" s="6">
        <f>I201+energia[[#This Row],[Łączna produkcja]]-energia[[#This Row],[Zapotrzebowanie]]</f>
        <v>267547.13400000019</v>
      </c>
      <c r="J202" t="b">
        <f>IF(energia[[#This Row],[Magazyn]]&lt;0,TRUE,FALSE)</f>
        <v>0</v>
      </c>
    </row>
    <row r="203" spans="1:10" x14ac:dyDescent="0.3">
      <c r="A203" s="1">
        <v>45391</v>
      </c>
      <c r="B203">
        <v>10</v>
      </c>
      <c r="C203">
        <v>799.86300000000006</v>
      </c>
      <c r="D203">
        <v>7182.9750000000004</v>
      </c>
      <c r="E203" t="b">
        <f>IF(energia[[#This Row],[Zrodla_wiatrowe]]&gt;C202,TRUE,FALSE)</f>
        <v>0</v>
      </c>
      <c r="F203">
        <f>IF(energia[[#This Row],[Czy wiatr rosło]],F202+1,1)</f>
        <v>1</v>
      </c>
      <c r="G203">
        <v>8349.6890000000003</v>
      </c>
      <c r="H203" s="6">
        <f>(energia[[#This Row],[Zrodla_wiatrowe]]+energia[[#This Row],[Zrodla_fotowoltaiczne]])</f>
        <v>7982.8380000000006</v>
      </c>
      <c r="I203" s="6">
        <f>I202+energia[[#This Row],[Łączna produkcja]]-energia[[#This Row],[Zapotrzebowanie]]</f>
        <v>267180.28300000017</v>
      </c>
      <c r="J203" t="b">
        <f>IF(energia[[#This Row],[Magazyn]]&lt;0,TRUE,FALSE)</f>
        <v>0</v>
      </c>
    </row>
    <row r="204" spans="1:10" x14ac:dyDescent="0.3">
      <c r="A204" s="1">
        <v>45391</v>
      </c>
      <c r="B204">
        <v>11</v>
      </c>
      <c r="C204">
        <v>671</v>
      </c>
      <c r="D204">
        <v>8564.7250000000004</v>
      </c>
      <c r="E204" t="b">
        <f>IF(energia[[#This Row],[Zrodla_wiatrowe]]&gt;C203,TRUE,FALSE)</f>
        <v>0</v>
      </c>
      <c r="F204">
        <f>IF(energia[[#This Row],[Czy wiatr rosło]],F203+1,1)</f>
        <v>1</v>
      </c>
      <c r="G204">
        <v>8326.2289999999994</v>
      </c>
      <c r="H204" s="6">
        <f>(energia[[#This Row],[Zrodla_wiatrowe]]+energia[[#This Row],[Zrodla_fotowoltaiczne]])</f>
        <v>9235.7250000000004</v>
      </c>
      <c r="I204" s="6">
        <f>I203+energia[[#This Row],[Łączna produkcja]]-energia[[#This Row],[Zapotrzebowanie]]</f>
        <v>268089.77900000016</v>
      </c>
      <c r="J204" t="b">
        <f>IF(energia[[#This Row],[Magazyn]]&lt;0,TRUE,FALSE)</f>
        <v>0</v>
      </c>
    </row>
    <row r="205" spans="1:10" x14ac:dyDescent="0.3">
      <c r="A205" s="1">
        <v>45391</v>
      </c>
      <c r="B205">
        <v>12</v>
      </c>
      <c r="C205">
        <v>777.7</v>
      </c>
      <c r="D205">
        <v>9683.5750000000007</v>
      </c>
      <c r="E205" t="b">
        <f>IF(energia[[#This Row],[Zrodla_wiatrowe]]&gt;C204,TRUE,FALSE)</f>
        <v>1</v>
      </c>
      <c r="F205">
        <f>IF(energia[[#This Row],[Czy wiatr rosło]],F204+1,1)</f>
        <v>2</v>
      </c>
      <c r="G205">
        <v>8464.5959999999995</v>
      </c>
      <c r="H205" s="6">
        <f>(energia[[#This Row],[Zrodla_wiatrowe]]+energia[[#This Row],[Zrodla_fotowoltaiczne]])</f>
        <v>10461.275000000001</v>
      </c>
      <c r="I205" s="6">
        <f>I204+energia[[#This Row],[Łączna produkcja]]-energia[[#This Row],[Zapotrzebowanie]]</f>
        <v>270086.45800000016</v>
      </c>
      <c r="J205" t="b">
        <f>IF(energia[[#This Row],[Magazyn]]&lt;0,TRUE,FALSE)</f>
        <v>0</v>
      </c>
    </row>
    <row r="206" spans="1:10" x14ac:dyDescent="0.3">
      <c r="A206" s="1">
        <v>45391</v>
      </c>
      <c r="B206">
        <v>13</v>
      </c>
      <c r="C206">
        <v>1114.325</v>
      </c>
      <c r="D206">
        <v>10529.963</v>
      </c>
      <c r="E206" t="b">
        <f>IF(energia[[#This Row],[Zrodla_wiatrowe]]&gt;C205,TRUE,FALSE)</f>
        <v>1</v>
      </c>
      <c r="F206">
        <f>IF(energia[[#This Row],[Czy wiatr rosło]],F205+1,1)</f>
        <v>3</v>
      </c>
      <c r="G206">
        <v>8818.3629999999994</v>
      </c>
      <c r="H206" s="6">
        <f>(energia[[#This Row],[Zrodla_wiatrowe]]+energia[[#This Row],[Zrodla_fotowoltaiczne]])</f>
        <v>11644.288</v>
      </c>
      <c r="I206" s="6">
        <f>I205+energia[[#This Row],[Łączna produkcja]]-energia[[#This Row],[Zapotrzebowanie]]</f>
        <v>272912.38300000015</v>
      </c>
      <c r="J206" t="b">
        <f>IF(energia[[#This Row],[Magazyn]]&lt;0,TRUE,FALSE)</f>
        <v>0</v>
      </c>
    </row>
    <row r="207" spans="1:10" x14ac:dyDescent="0.3">
      <c r="A207" s="1">
        <v>45391</v>
      </c>
      <c r="B207">
        <v>14</v>
      </c>
      <c r="C207">
        <v>1516.713</v>
      </c>
      <c r="D207">
        <v>10167.013000000001</v>
      </c>
      <c r="E207" t="b">
        <f>IF(energia[[#This Row],[Zrodla_wiatrowe]]&gt;C206,TRUE,FALSE)</f>
        <v>1</v>
      </c>
      <c r="F207">
        <f>IF(energia[[#This Row],[Czy wiatr rosło]],F206+1,1)</f>
        <v>4</v>
      </c>
      <c r="G207">
        <v>8331.0529999999999</v>
      </c>
      <c r="H207" s="6">
        <f>(energia[[#This Row],[Zrodla_wiatrowe]]+energia[[#This Row],[Zrodla_fotowoltaiczne]])</f>
        <v>11683.726000000001</v>
      </c>
      <c r="I207" s="6">
        <f>I206+energia[[#This Row],[Łączna produkcja]]-energia[[#This Row],[Zapotrzebowanie]]</f>
        <v>276265.05600000016</v>
      </c>
      <c r="J207" t="b">
        <f>IF(energia[[#This Row],[Magazyn]]&lt;0,TRUE,FALSE)</f>
        <v>0</v>
      </c>
    </row>
    <row r="208" spans="1:10" x14ac:dyDescent="0.3">
      <c r="A208" s="1">
        <v>45391</v>
      </c>
      <c r="B208">
        <v>15</v>
      </c>
      <c r="C208">
        <v>1790.7249999999999</v>
      </c>
      <c r="D208">
        <v>9447.0249999999996</v>
      </c>
      <c r="E208" t="b">
        <f>IF(energia[[#This Row],[Zrodla_wiatrowe]]&gt;C207,TRUE,FALSE)</f>
        <v>1</v>
      </c>
      <c r="F208">
        <f>IF(energia[[#This Row],[Czy wiatr rosło]],F207+1,1)</f>
        <v>5</v>
      </c>
      <c r="G208">
        <v>8588.4930000000004</v>
      </c>
      <c r="H208" s="6">
        <f>(energia[[#This Row],[Zrodla_wiatrowe]]+energia[[#This Row],[Zrodla_fotowoltaiczne]])</f>
        <v>11237.75</v>
      </c>
      <c r="I208" s="6">
        <f>I207+energia[[#This Row],[Łączna produkcja]]-energia[[#This Row],[Zapotrzebowanie]]</f>
        <v>278914.31300000014</v>
      </c>
      <c r="J208" t="b">
        <f>IF(energia[[#This Row],[Magazyn]]&lt;0,TRUE,FALSE)</f>
        <v>0</v>
      </c>
    </row>
    <row r="209" spans="1:10" x14ac:dyDescent="0.3">
      <c r="A209" s="1">
        <v>45391</v>
      </c>
      <c r="B209">
        <v>16</v>
      </c>
      <c r="C209">
        <v>2123.25</v>
      </c>
      <c r="D209">
        <v>8104.0129999999999</v>
      </c>
      <c r="E209" t="b">
        <f>IF(energia[[#This Row],[Zrodla_wiatrowe]]&gt;C208,TRUE,FALSE)</f>
        <v>1</v>
      </c>
      <c r="F209">
        <f>IF(energia[[#This Row],[Czy wiatr rosło]],F208+1,1)</f>
        <v>6</v>
      </c>
      <c r="G209">
        <v>8649.6689999999999</v>
      </c>
      <c r="H209" s="6">
        <f>(energia[[#This Row],[Zrodla_wiatrowe]]+energia[[#This Row],[Zrodla_fotowoltaiczne]])</f>
        <v>10227.262999999999</v>
      </c>
      <c r="I209" s="6">
        <f>I208+energia[[#This Row],[Łączna produkcja]]-energia[[#This Row],[Zapotrzebowanie]]</f>
        <v>280491.90700000012</v>
      </c>
      <c r="J209" t="b">
        <f>IF(energia[[#This Row],[Magazyn]]&lt;0,TRUE,FALSE)</f>
        <v>0</v>
      </c>
    </row>
    <row r="210" spans="1:10" x14ac:dyDescent="0.3">
      <c r="A210" s="1">
        <v>45391</v>
      </c>
      <c r="B210">
        <v>17</v>
      </c>
      <c r="C210">
        <v>2324.5630000000001</v>
      </c>
      <c r="D210">
        <v>5836.4750000000004</v>
      </c>
      <c r="E210" t="b">
        <f>IF(energia[[#This Row],[Zrodla_wiatrowe]]&gt;C209,TRUE,FALSE)</f>
        <v>1</v>
      </c>
      <c r="F210">
        <f>IF(energia[[#This Row],[Czy wiatr rosło]],F209+1,1)</f>
        <v>7</v>
      </c>
      <c r="G210">
        <v>8346.4959999999992</v>
      </c>
      <c r="H210" s="6">
        <f>(energia[[#This Row],[Zrodla_wiatrowe]]+energia[[#This Row],[Zrodla_fotowoltaiczne]])</f>
        <v>8161.0380000000005</v>
      </c>
      <c r="I210" s="6">
        <f>I209+energia[[#This Row],[Łączna produkcja]]-energia[[#This Row],[Zapotrzebowanie]]</f>
        <v>280306.44900000014</v>
      </c>
      <c r="J210" t="b">
        <f>IF(energia[[#This Row],[Magazyn]]&lt;0,TRUE,FALSE)</f>
        <v>0</v>
      </c>
    </row>
    <row r="211" spans="1:10" x14ac:dyDescent="0.3">
      <c r="A211" s="1">
        <v>45391</v>
      </c>
      <c r="B211">
        <v>18</v>
      </c>
      <c r="C211">
        <v>2379.5500000000002</v>
      </c>
      <c r="D211">
        <v>3212.9879999999998</v>
      </c>
      <c r="E211" t="b">
        <f>IF(energia[[#This Row],[Zrodla_wiatrowe]]&gt;C210,TRUE,FALSE)</f>
        <v>1</v>
      </c>
      <c r="F211">
        <f>IF(energia[[#This Row],[Czy wiatr rosło]],F210+1,1)</f>
        <v>8</v>
      </c>
      <c r="G211">
        <v>7663.5240000000003</v>
      </c>
      <c r="H211" s="6">
        <f>(energia[[#This Row],[Zrodla_wiatrowe]]+energia[[#This Row],[Zrodla_fotowoltaiczne]])</f>
        <v>5592.5380000000005</v>
      </c>
      <c r="I211" s="6">
        <f>I210+energia[[#This Row],[Łączna produkcja]]-energia[[#This Row],[Zapotrzebowanie]]</f>
        <v>278235.46300000016</v>
      </c>
      <c r="J211" t="b">
        <f>IF(energia[[#This Row],[Magazyn]]&lt;0,TRUE,FALSE)</f>
        <v>0</v>
      </c>
    </row>
    <row r="212" spans="1:10" x14ac:dyDescent="0.3">
      <c r="A212" s="1">
        <v>45391</v>
      </c>
      <c r="B212">
        <v>19</v>
      </c>
      <c r="C212">
        <v>2677.45</v>
      </c>
      <c r="D212">
        <v>1144.95</v>
      </c>
      <c r="E212" t="b">
        <f>IF(energia[[#This Row],[Zrodla_wiatrowe]]&gt;C211,TRUE,FALSE)</f>
        <v>1</v>
      </c>
      <c r="F212">
        <f>IF(energia[[#This Row],[Czy wiatr rosło]],F211+1,1)</f>
        <v>9</v>
      </c>
      <c r="G212">
        <v>6848.42</v>
      </c>
      <c r="H212" s="6">
        <f>(energia[[#This Row],[Zrodla_wiatrowe]]+energia[[#This Row],[Zrodla_fotowoltaiczne]])</f>
        <v>3822.3999999999996</v>
      </c>
      <c r="I212" s="6">
        <f>I211+energia[[#This Row],[Łączna produkcja]]-energia[[#This Row],[Zapotrzebowanie]]</f>
        <v>275209.4430000002</v>
      </c>
      <c r="J212" t="b">
        <f>IF(energia[[#This Row],[Magazyn]]&lt;0,TRUE,FALSE)</f>
        <v>0</v>
      </c>
    </row>
    <row r="213" spans="1:10" x14ac:dyDescent="0.3">
      <c r="A213" s="1">
        <v>45391</v>
      </c>
      <c r="B213">
        <v>20</v>
      </c>
      <c r="C213">
        <v>3303.875</v>
      </c>
      <c r="D213">
        <v>249.01300000000001</v>
      </c>
      <c r="E213" t="b">
        <f>IF(energia[[#This Row],[Zrodla_wiatrowe]]&gt;C212,TRUE,FALSE)</f>
        <v>1</v>
      </c>
      <c r="F213">
        <f>IF(energia[[#This Row],[Czy wiatr rosło]],F212+1,1)</f>
        <v>10</v>
      </c>
      <c r="G213">
        <v>6663.0129999999999</v>
      </c>
      <c r="H213" s="6">
        <f>(energia[[#This Row],[Zrodla_wiatrowe]]+energia[[#This Row],[Zrodla_fotowoltaiczne]])</f>
        <v>3552.8879999999999</v>
      </c>
      <c r="I213" s="6">
        <f>I212+energia[[#This Row],[Łączna produkcja]]-energia[[#This Row],[Zapotrzebowanie]]</f>
        <v>272099.3180000002</v>
      </c>
      <c r="J213" t="b">
        <f>IF(energia[[#This Row],[Magazyn]]&lt;0,TRUE,FALSE)</f>
        <v>0</v>
      </c>
    </row>
    <row r="214" spans="1:10" x14ac:dyDescent="0.3">
      <c r="A214" s="1">
        <v>45391</v>
      </c>
      <c r="B214">
        <v>21</v>
      </c>
      <c r="C214">
        <v>4048.4630000000002</v>
      </c>
      <c r="D214">
        <v>0</v>
      </c>
      <c r="E214" t="b">
        <f>IF(energia[[#This Row],[Zrodla_wiatrowe]]&gt;C213,TRUE,FALSE)</f>
        <v>1</v>
      </c>
      <c r="F214">
        <f>IF(energia[[#This Row],[Czy wiatr rosło]],F213+1,1)</f>
        <v>11</v>
      </c>
      <c r="G214">
        <v>5177.2969999999996</v>
      </c>
      <c r="H214" s="6">
        <f>(energia[[#This Row],[Zrodla_wiatrowe]]+energia[[#This Row],[Zrodla_fotowoltaiczne]])</f>
        <v>4048.4630000000002</v>
      </c>
      <c r="I214" s="6">
        <f>I213+energia[[#This Row],[Łączna produkcja]]-energia[[#This Row],[Zapotrzebowanie]]</f>
        <v>270970.48400000017</v>
      </c>
      <c r="J214" t="b">
        <f>IF(energia[[#This Row],[Magazyn]]&lt;0,TRUE,FALSE)</f>
        <v>0</v>
      </c>
    </row>
    <row r="215" spans="1:10" x14ac:dyDescent="0.3">
      <c r="A215" s="1">
        <v>45391</v>
      </c>
      <c r="B215">
        <v>22</v>
      </c>
      <c r="C215">
        <v>4693.8379999999997</v>
      </c>
      <c r="D215">
        <v>0</v>
      </c>
      <c r="E215" t="b">
        <f>IF(energia[[#This Row],[Zrodla_wiatrowe]]&gt;C214,TRUE,FALSE)</f>
        <v>1</v>
      </c>
      <c r="F215">
        <f>IF(energia[[#This Row],[Czy wiatr rosło]],F214+1,1)</f>
        <v>12</v>
      </c>
      <c r="G215">
        <v>4997.2749999999996</v>
      </c>
      <c r="H215" s="6">
        <f>(energia[[#This Row],[Zrodla_wiatrowe]]+energia[[#This Row],[Zrodla_fotowoltaiczne]])</f>
        <v>4693.8379999999997</v>
      </c>
      <c r="I215" s="6">
        <f>I214+energia[[#This Row],[Łączna produkcja]]-energia[[#This Row],[Zapotrzebowanie]]</f>
        <v>270667.04700000014</v>
      </c>
      <c r="J215" t="b">
        <f>IF(energia[[#This Row],[Magazyn]]&lt;0,TRUE,FALSE)</f>
        <v>0</v>
      </c>
    </row>
    <row r="216" spans="1:10" x14ac:dyDescent="0.3">
      <c r="A216" s="1">
        <v>45391</v>
      </c>
      <c r="B216">
        <v>23</v>
      </c>
      <c r="C216">
        <v>5564.8</v>
      </c>
      <c r="D216">
        <v>0</v>
      </c>
      <c r="E216" t="b">
        <f>IF(energia[[#This Row],[Zrodla_wiatrowe]]&gt;C215,TRUE,FALSE)</f>
        <v>1</v>
      </c>
      <c r="F216">
        <f>IF(energia[[#This Row],[Czy wiatr rosło]],F215+1,1)</f>
        <v>13</v>
      </c>
      <c r="G216">
        <v>3095.8780000000002</v>
      </c>
      <c r="H216" s="6">
        <f>(energia[[#This Row],[Zrodla_wiatrowe]]+energia[[#This Row],[Zrodla_fotowoltaiczne]])</f>
        <v>5564.8</v>
      </c>
      <c r="I216" s="6">
        <f>I215+energia[[#This Row],[Łączna produkcja]]-energia[[#This Row],[Zapotrzebowanie]]</f>
        <v>273135.9690000001</v>
      </c>
      <c r="J216" t="b">
        <f>IF(energia[[#This Row],[Magazyn]]&lt;0,TRUE,FALSE)</f>
        <v>0</v>
      </c>
    </row>
    <row r="217" spans="1:10" x14ac:dyDescent="0.3">
      <c r="A217" s="1">
        <v>45391</v>
      </c>
      <c r="B217">
        <v>24</v>
      </c>
      <c r="C217">
        <v>5323.7250000000004</v>
      </c>
      <c r="D217">
        <v>0</v>
      </c>
      <c r="E217" t="b">
        <f>IF(energia[[#This Row],[Zrodla_wiatrowe]]&gt;C216,TRUE,FALSE)</f>
        <v>0</v>
      </c>
      <c r="F217">
        <f>IF(energia[[#This Row],[Czy wiatr rosło]],F216+1,1)</f>
        <v>1</v>
      </c>
      <c r="G217">
        <v>1817.682</v>
      </c>
      <c r="H217" s="6">
        <f>(energia[[#This Row],[Zrodla_wiatrowe]]+energia[[#This Row],[Zrodla_fotowoltaiczne]])</f>
        <v>5323.7250000000004</v>
      </c>
      <c r="I217" s="6">
        <f>I216+energia[[#This Row],[Łączna produkcja]]-energia[[#This Row],[Zapotrzebowanie]]</f>
        <v>276642.0120000001</v>
      </c>
      <c r="J217" t="b">
        <f>IF(energia[[#This Row],[Magazyn]]&lt;0,TRUE,FALSE)</f>
        <v>0</v>
      </c>
    </row>
    <row r="218" spans="1:10" x14ac:dyDescent="0.3">
      <c r="A218" s="1">
        <v>45392</v>
      </c>
      <c r="B218">
        <v>1</v>
      </c>
      <c r="C218">
        <v>4951.875</v>
      </c>
      <c r="D218">
        <v>0</v>
      </c>
      <c r="E218" t="b">
        <f>IF(energia[[#This Row],[Zrodla_wiatrowe]]&gt;C217,TRUE,FALSE)</f>
        <v>0</v>
      </c>
      <c r="F218">
        <f>IF(energia[[#This Row],[Czy wiatr rosło]],F217+1,1)</f>
        <v>1</v>
      </c>
      <c r="G218">
        <v>1660.1130000000001</v>
      </c>
      <c r="H218" s="6">
        <f>(energia[[#This Row],[Zrodla_wiatrowe]]+energia[[#This Row],[Zrodla_fotowoltaiczne]])</f>
        <v>4951.875</v>
      </c>
      <c r="I218" s="6">
        <f>I217+energia[[#This Row],[Łączna produkcja]]-energia[[#This Row],[Zapotrzebowanie]]</f>
        <v>279933.77400000009</v>
      </c>
      <c r="J218" t="b">
        <f>IF(energia[[#This Row],[Magazyn]]&lt;0,TRUE,FALSE)</f>
        <v>0</v>
      </c>
    </row>
    <row r="219" spans="1:10" x14ac:dyDescent="0.3">
      <c r="A219" s="1">
        <v>45392</v>
      </c>
      <c r="B219">
        <v>2</v>
      </c>
      <c r="C219">
        <v>4908.4129999999996</v>
      </c>
      <c r="D219">
        <v>0</v>
      </c>
      <c r="E219" t="b">
        <f>IF(energia[[#This Row],[Zrodla_wiatrowe]]&gt;C218,TRUE,FALSE)</f>
        <v>0</v>
      </c>
      <c r="F219">
        <f>IF(energia[[#This Row],[Czy wiatr rosło]],F218+1,1)</f>
        <v>1</v>
      </c>
      <c r="G219">
        <v>1423.307</v>
      </c>
      <c r="H219" s="6">
        <f>(energia[[#This Row],[Zrodla_wiatrowe]]+energia[[#This Row],[Zrodla_fotowoltaiczne]])</f>
        <v>4908.4129999999996</v>
      </c>
      <c r="I219" s="6">
        <f>I218+energia[[#This Row],[Łączna produkcja]]-energia[[#This Row],[Zapotrzebowanie]]</f>
        <v>283418.88000000012</v>
      </c>
      <c r="J219" t="b">
        <f>IF(energia[[#This Row],[Magazyn]]&lt;0,TRUE,FALSE)</f>
        <v>0</v>
      </c>
    </row>
    <row r="220" spans="1:10" x14ac:dyDescent="0.3">
      <c r="A220" s="1">
        <v>45392</v>
      </c>
      <c r="B220">
        <v>3</v>
      </c>
      <c r="C220">
        <v>4634.95</v>
      </c>
      <c r="D220">
        <v>0</v>
      </c>
      <c r="E220" t="b">
        <f>IF(energia[[#This Row],[Zrodla_wiatrowe]]&gt;C219,TRUE,FALSE)</f>
        <v>0</v>
      </c>
      <c r="F220">
        <f>IF(energia[[#This Row],[Czy wiatr rosło]],F219+1,1)</f>
        <v>1</v>
      </c>
      <c r="G220">
        <v>1331.1990000000001</v>
      </c>
      <c r="H220" s="6">
        <f>(energia[[#This Row],[Zrodla_wiatrowe]]+energia[[#This Row],[Zrodla_fotowoltaiczne]])</f>
        <v>4634.95</v>
      </c>
      <c r="I220" s="6">
        <f>I219+energia[[#This Row],[Łączna produkcja]]-energia[[#This Row],[Zapotrzebowanie]]</f>
        <v>286722.63100000011</v>
      </c>
      <c r="J220" t="b">
        <f>IF(energia[[#This Row],[Magazyn]]&lt;0,TRUE,FALSE)</f>
        <v>0</v>
      </c>
    </row>
    <row r="221" spans="1:10" x14ac:dyDescent="0.3">
      <c r="A221" s="1">
        <v>45392</v>
      </c>
      <c r="B221">
        <v>4</v>
      </c>
      <c r="C221">
        <v>4623.1130000000003</v>
      </c>
      <c r="D221">
        <v>0</v>
      </c>
      <c r="E221" t="b">
        <f>IF(energia[[#This Row],[Zrodla_wiatrowe]]&gt;C220,TRUE,FALSE)</f>
        <v>0</v>
      </c>
      <c r="F221">
        <f>IF(energia[[#This Row],[Czy wiatr rosło]],F220+1,1)</f>
        <v>1</v>
      </c>
      <c r="G221">
        <v>1333.9280000000001</v>
      </c>
      <c r="H221" s="6">
        <f>(energia[[#This Row],[Zrodla_wiatrowe]]+energia[[#This Row],[Zrodla_fotowoltaiczne]])</f>
        <v>4623.1130000000003</v>
      </c>
      <c r="I221" s="6">
        <f>I220+energia[[#This Row],[Łączna produkcja]]-energia[[#This Row],[Zapotrzebowanie]]</f>
        <v>290011.81600000011</v>
      </c>
      <c r="J221" t="b">
        <f>IF(energia[[#This Row],[Magazyn]]&lt;0,TRUE,FALSE)</f>
        <v>0</v>
      </c>
    </row>
    <row r="222" spans="1:10" x14ac:dyDescent="0.3">
      <c r="A222" s="1">
        <v>45392</v>
      </c>
      <c r="B222">
        <v>5</v>
      </c>
      <c r="C222">
        <v>4552.6379999999999</v>
      </c>
      <c r="D222">
        <v>0</v>
      </c>
      <c r="E222" t="b">
        <f>IF(energia[[#This Row],[Zrodla_wiatrowe]]&gt;C221,TRUE,FALSE)</f>
        <v>0</v>
      </c>
      <c r="F222">
        <f>IF(energia[[#This Row],[Czy wiatr rosło]],F221+1,1)</f>
        <v>1</v>
      </c>
      <c r="G222">
        <v>1999.7429999999999</v>
      </c>
      <c r="H222" s="6">
        <f>(energia[[#This Row],[Zrodla_wiatrowe]]+energia[[#This Row],[Zrodla_fotowoltaiczne]])</f>
        <v>4552.6379999999999</v>
      </c>
      <c r="I222" s="6">
        <f>I221+energia[[#This Row],[Łączna produkcja]]-energia[[#This Row],[Zapotrzebowanie]]</f>
        <v>292564.71100000007</v>
      </c>
      <c r="J222" t="b">
        <f>IF(energia[[#This Row],[Magazyn]]&lt;0,TRUE,FALSE)</f>
        <v>0</v>
      </c>
    </row>
    <row r="223" spans="1:10" x14ac:dyDescent="0.3">
      <c r="A223" s="1">
        <v>45392</v>
      </c>
      <c r="B223">
        <v>6</v>
      </c>
      <c r="C223">
        <v>4404.45</v>
      </c>
      <c r="D223">
        <v>51.438000000000002</v>
      </c>
      <c r="E223" t="b">
        <f>IF(energia[[#This Row],[Zrodla_wiatrowe]]&gt;C222,TRUE,FALSE)</f>
        <v>0</v>
      </c>
      <c r="F223">
        <f>IF(energia[[#This Row],[Czy wiatr rosło]],F222+1,1)</f>
        <v>1</v>
      </c>
      <c r="G223">
        <v>3311.6419999999998</v>
      </c>
      <c r="H223" s="6">
        <f>(energia[[#This Row],[Zrodla_wiatrowe]]+energia[[#This Row],[Zrodla_fotowoltaiczne]])</f>
        <v>4455.8879999999999</v>
      </c>
      <c r="I223" s="6">
        <f>I222+energia[[#This Row],[Łączna produkcja]]-energia[[#This Row],[Zapotrzebowanie]]</f>
        <v>293708.95700000005</v>
      </c>
      <c r="J223" t="b">
        <f>IF(energia[[#This Row],[Magazyn]]&lt;0,TRUE,FALSE)</f>
        <v>0</v>
      </c>
    </row>
    <row r="224" spans="1:10" x14ac:dyDescent="0.3">
      <c r="A224" s="1">
        <v>45392</v>
      </c>
      <c r="B224">
        <v>7</v>
      </c>
      <c r="C224">
        <v>4126.7879999999996</v>
      </c>
      <c r="D224">
        <v>383.1</v>
      </c>
      <c r="E224" t="b">
        <f>IF(energia[[#This Row],[Zrodla_wiatrowe]]&gt;C223,TRUE,FALSE)</f>
        <v>0</v>
      </c>
      <c r="F224">
        <f>IF(energia[[#This Row],[Czy wiatr rosło]],F223+1,1)</f>
        <v>1</v>
      </c>
      <c r="G224">
        <v>4511.2349999999997</v>
      </c>
      <c r="H224" s="6">
        <f>(energia[[#This Row],[Zrodla_wiatrowe]]+energia[[#This Row],[Zrodla_fotowoltaiczne]])</f>
        <v>4509.8879999999999</v>
      </c>
      <c r="I224" s="6">
        <f>I223+energia[[#This Row],[Łączna produkcja]]-energia[[#This Row],[Zapotrzebowanie]]</f>
        <v>293707.61000000004</v>
      </c>
      <c r="J224" t="b">
        <f>IF(energia[[#This Row],[Magazyn]]&lt;0,TRUE,FALSE)</f>
        <v>0</v>
      </c>
    </row>
    <row r="225" spans="1:10" x14ac:dyDescent="0.3">
      <c r="A225" s="1">
        <v>45392</v>
      </c>
      <c r="B225">
        <v>8</v>
      </c>
      <c r="C225">
        <v>4069.15</v>
      </c>
      <c r="D225">
        <v>1176.413</v>
      </c>
      <c r="E225" t="b">
        <f>IF(energia[[#This Row],[Zrodla_wiatrowe]]&gt;C224,TRUE,FALSE)</f>
        <v>0</v>
      </c>
      <c r="F225">
        <f>IF(energia[[#This Row],[Czy wiatr rosło]],F224+1,1)</f>
        <v>1</v>
      </c>
      <c r="G225">
        <v>7029.8739999999998</v>
      </c>
      <c r="H225" s="6">
        <f>(energia[[#This Row],[Zrodla_wiatrowe]]+energia[[#This Row],[Zrodla_fotowoltaiczne]])</f>
        <v>5245.5630000000001</v>
      </c>
      <c r="I225" s="6">
        <f>I224+energia[[#This Row],[Łączna produkcja]]-energia[[#This Row],[Zapotrzebowanie]]</f>
        <v>291923.29900000006</v>
      </c>
      <c r="J225" t="b">
        <f>IF(energia[[#This Row],[Magazyn]]&lt;0,TRUE,FALSE)</f>
        <v>0</v>
      </c>
    </row>
    <row r="226" spans="1:10" x14ac:dyDescent="0.3">
      <c r="A226" s="1">
        <v>45392</v>
      </c>
      <c r="B226">
        <v>9</v>
      </c>
      <c r="C226">
        <v>3913.0250000000001</v>
      </c>
      <c r="D226">
        <v>2085.15</v>
      </c>
      <c r="E226" t="b">
        <f>IF(energia[[#This Row],[Zrodla_wiatrowe]]&gt;C225,TRUE,FALSE)</f>
        <v>0</v>
      </c>
      <c r="F226">
        <f>IF(energia[[#This Row],[Czy wiatr rosło]],F225+1,1)</f>
        <v>1</v>
      </c>
      <c r="G226">
        <v>7473.5190000000002</v>
      </c>
      <c r="H226" s="6">
        <f>(energia[[#This Row],[Zrodla_wiatrowe]]+energia[[#This Row],[Zrodla_fotowoltaiczne]])</f>
        <v>5998.1750000000002</v>
      </c>
      <c r="I226" s="6">
        <f>I225+energia[[#This Row],[Łączna produkcja]]-energia[[#This Row],[Zapotrzebowanie]]</f>
        <v>290447.95500000007</v>
      </c>
      <c r="J226" t="b">
        <f>IF(energia[[#This Row],[Magazyn]]&lt;0,TRUE,FALSE)</f>
        <v>0</v>
      </c>
    </row>
    <row r="227" spans="1:10" x14ac:dyDescent="0.3">
      <c r="A227" s="1">
        <v>45392</v>
      </c>
      <c r="B227">
        <v>10</v>
      </c>
      <c r="C227">
        <v>3838.6750000000002</v>
      </c>
      <c r="D227">
        <v>2938.3380000000002</v>
      </c>
      <c r="E227" t="b">
        <f>IF(energia[[#This Row],[Zrodla_wiatrowe]]&gt;C226,TRUE,FALSE)</f>
        <v>0</v>
      </c>
      <c r="F227">
        <f>IF(energia[[#This Row],[Czy wiatr rosło]],F226+1,1)</f>
        <v>1</v>
      </c>
      <c r="G227">
        <v>8341.3389999999999</v>
      </c>
      <c r="H227" s="6">
        <f>(energia[[#This Row],[Zrodla_wiatrowe]]+energia[[#This Row],[Zrodla_fotowoltaiczne]])</f>
        <v>6777.0130000000008</v>
      </c>
      <c r="I227" s="6">
        <f>I226+energia[[#This Row],[Łączna produkcja]]-energia[[#This Row],[Zapotrzebowanie]]</f>
        <v>288883.62900000007</v>
      </c>
      <c r="J227" t="b">
        <f>IF(energia[[#This Row],[Magazyn]]&lt;0,TRUE,FALSE)</f>
        <v>0</v>
      </c>
    </row>
    <row r="228" spans="1:10" x14ac:dyDescent="0.3">
      <c r="A228" s="1">
        <v>45392</v>
      </c>
      <c r="B228">
        <v>11</v>
      </c>
      <c r="C228">
        <v>4091.8629999999998</v>
      </c>
      <c r="D228">
        <v>4072.788</v>
      </c>
      <c r="E228" t="b">
        <f>IF(energia[[#This Row],[Zrodla_wiatrowe]]&gt;C227,TRUE,FALSE)</f>
        <v>1</v>
      </c>
      <c r="F228">
        <f>IF(energia[[#This Row],[Czy wiatr rosło]],F227+1,1)</f>
        <v>2</v>
      </c>
      <c r="G228">
        <v>8317.9030000000002</v>
      </c>
      <c r="H228" s="6">
        <f>(energia[[#This Row],[Zrodla_wiatrowe]]+energia[[#This Row],[Zrodla_fotowoltaiczne]])</f>
        <v>8164.6509999999998</v>
      </c>
      <c r="I228" s="6">
        <f>I227+energia[[#This Row],[Łączna produkcja]]-energia[[#This Row],[Zapotrzebowanie]]</f>
        <v>288730.37700000009</v>
      </c>
      <c r="J228" t="b">
        <f>IF(energia[[#This Row],[Magazyn]]&lt;0,TRUE,FALSE)</f>
        <v>0</v>
      </c>
    </row>
    <row r="229" spans="1:10" x14ac:dyDescent="0.3">
      <c r="A229" s="1">
        <v>45392</v>
      </c>
      <c r="B229">
        <v>12</v>
      </c>
      <c r="C229">
        <v>4197.125</v>
      </c>
      <c r="D229">
        <v>4948.7</v>
      </c>
      <c r="E229" t="b">
        <f>IF(energia[[#This Row],[Zrodla_wiatrowe]]&gt;C228,TRUE,FALSE)</f>
        <v>1</v>
      </c>
      <c r="F229">
        <f>IF(energia[[#This Row],[Czy wiatr rosło]],F228+1,1)</f>
        <v>3</v>
      </c>
      <c r="G229">
        <v>8456.1319999999996</v>
      </c>
      <c r="H229" s="6">
        <f>(energia[[#This Row],[Zrodla_wiatrowe]]+energia[[#This Row],[Zrodla_fotowoltaiczne]])</f>
        <v>9145.8250000000007</v>
      </c>
      <c r="I229" s="6">
        <f>I228+energia[[#This Row],[Łączna produkcja]]-energia[[#This Row],[Zapotrzebowanie]]</f>
        <v>289420.07000000012</v>
      </c>
      <c r="J229" t="b">
        <f>IF(energia[[#This Row],[Magazyn]]&lt;0,TRUE,FALSE)</f>
        <v>0</v>
      </c>
    </row>
    <row r="230" spans="1:10" x14ac:dyDescent="0.3">
      <c r="A230" s="1">
        <v>45392</v>
      </c>
      <c r="B230">
        <v>13</v>
      </c>
      <c r="C230">
        <v>4160.1499999999996</v>
      </c>
      <c r="D230">
        <v>5479.7250000000004</v>
      </c>
      <c r="E230" t="b">
        <f>IF(energia[[#This Row],[Zrodla_wiatrowe]]&gt;C229,TRUE,FALSE)</f>
        <v>0</v>
      </c>
      <c r="F230">
        <f>IF(energia[[#This Row],[Czy wiatr rosło]],F229+1,1)</f>
        <v>1</v>
      </c>
      <c r="G230">
        <v>8809.5450000000001</v>
      </c>
      <c r="H230" s="6">
        <f>(energia[[#This Row],[Zrodla_wiatrowe]]+energia[[#This Row],[Zrodla_fotowoltaiczne]])</f>
        <v>9639.875</v>
      </c>
      <c r="I230" s="6">
        <f>I229+energia[[#This Row],[Łączna produkcja]]-energia[[#This Row],[Zapotrzebowanie]]</f>
        <v>290250.40000000014</v>
      </c>
      <c r="J230" t="b">
        <f>IF(energia[[#This Row],[Magazyn]]&lt;0,TRUE,FALSE)</f>
        <v>0</v>
      </c>
    </row>
    <row r="231" spans="1:10" x14ac:dyDescent="0.3">
      <c r="A231" s="1">
        <v>45392</v>
      </c>
      <c r="B231">
        <v>14</v>
      </c>
      <c r="C231">
        <v>3900.95</v>
      </c>
      <c r="D231">
        <v>5619</v>
      </c>
      <c r="E231" t="b">
        <f>IF(energia[[#This Row],[Zrodla_wiatrowe]]&gt;C230,TRUE,FALSE)</f>
        <v>0</v>
      </c>
      <c r="F231">
        <f>IF(energia[[#This Row],[Czy wiatr rosło]],F230+1,1)</f>
        <v>1</v>
      </c>
      <c r="G231">
        <v>8322.7219999999998</v>
      </c>
      <c r="H231" s="6">
        <f>(energia[[#This Row],[Zrodla_wiatrowe]]+energia[[#This Row],[Zrodla_fotowoltaiczne]])</f>
        <v>9519.9500000000007</v>
      </c>
      <c r="I231" s="6">
        <f>I230+energia[[#This Row],[Łączna produkcja]]-energia[[#This Row],[Zapotrzebowanie]]</f>
        <v>291447.62800000014</v>
      </c>
      <c r="J231" t="b">
        <f>IF(energia[[#This Row],[Magazyn]]&lt;0,TRUE,FALSE)</f>
        <v>0</v>
      </c>
    </row>
    <row r="232" spans="1:10" x14ac:dyDescent="0.3">
      <c r="A232" s="1">
        <v>45392</v>
      </c>
      <c r="B232">
        <v>15</v>
      </c>
      <c r="C232">
        <v>3837.4250000000002</v>
      </c>
      <c r="D232">
        <v>5315.4250000000002</v>
      </c>
      <c r="E232" t="b">
        <f>IF(energia[[#This Row],[Zrodla_wiatrowe]]&gt;C231,TRUE,FALSE)</f>
        <v>0</v>
      </c>
      <c r="F232">
        <f>IF(energia[[#This Row],[Czy wiatr rosło]],F231+1,1)</f>
        <v>1</v>
      </c>
      <c r="G232">
        <v>8579.9040000000005</v>
      </c>
      <c r="H232" s="6">
        <f>(energia[[#This Row],[Zrodla_wiatrowe]]+energia[[#This Row],[Zrodla_fotowoltaiczne]])</f>
        <v>9152.85</v>
      </c>
      <c r="I232" s="6">
        <f>I231+energia[[#This Row],[Łączna produkcja]]-energia[[#This Row],[Zapotrzebowanie]]</f>
        <v>292020.57400000014</v>
      </c>
      <c r="J232" t="b">
        <f>IF(energia[[#This Row],[Magazyn]]&lt;0,TRUE,FALSE)</f>
        <v>0</v>
      </c>
    </row>
    <row r="233" spans="1:10" x14ac:dyDescent="0.3">
      <c r="A233" s="1">
        <v>45392</v>
      </c>
      <c r="B233">
        <v>16</v>
      </c>
      <c r="C233">
        <v>3739.0630000000001</v>
      </c>
      <c r="D233">
        <v>4515.6379999999999</v>
      </c>
      <c r="E233" t="b">
        <f>IF(energia[[#This Row],[Zrodla_wiatrowe]]&gt;C232,TRUE,FALSE)</f>
        <v>0</v>
      </c>
      <c r="F233">
        <f>IF(energia[[#This Row],[Czy wiatr rosło]],F232+1,1)</f>
        <v>1</v>
      </c>
      <c r="G233">
        <v>8641.02</v>
      </c>
      <c r="H233" s="6">
        <f>(energia[[#This Row],[Zrodla_wiatrowe]]+energia[[#This Row],[Zrodla_fotowoltaiczne]])</f>
        <v>8254.7010000000009</v>
      </c>
      <c r="I233" s="6">
        <f>I232+energia[[#This Row],[Łączna produkcja]]-energia[[#This Row],[Zapotrzebowanie]]</f>
        <v>291634.25500000012</v>
      </c>
      <c r="J233" t="b">
        <f>IF(energia[[#This Row],[Magazyn]]&lt;0,TRUE,FALSE)</f>
        <v>0</v>
      </c>
    </row>
    <row r="234" spans="1:10" x14ac:dyDescent="0.3">
      <c r="A234" s="1">
        <v>45392</v>
      </c>
      <c r="B234">
        <v>17</v>
      </c>
      <c r="C234">
        <v>3906.1750000000002</v>
      </c>
      <c r="D234">
        <v>3256.5880000000002</v>
      </c>
      <c r="E234" t="b">
        <f>IF(energia[[#This Row],[Zrodla_wiatrowe]]&gt;C233,TRUE,FALSE)</f>
        <v>1</v>
      </c>
      <c r="F234">
        <f>IF(energia[[#This Row],[Czy wiatr rosło]],F233+1,1)</f>
        <v>2</v>
      </c>
      <c r="G234">
        <v>8338.1489999999994</v>
      </c>
      <c r="H234" s="6">
        <f>(energia[[#This Row],[Zrodla_wiatrowe]]+energia[[#This Row],[Zrodla_fotowoltaiczne]])</f>
        <v>7162.7630000000008</v>
      </c>
      <c r="I234" s="6">
        <f>I233+energia[[#This Row],[Łączna produkcja]]-energia[[#This Row],[Zapotrzebowanie]]</f>
        <v>290458.86900000012</v>
      </c>
      <c r="J234" t="b">
        <f>IF(energia[[#This Row],[Magazyn]]&lt;0,TRUE,FALSE)</f>
        <v>0</v>
      </c>
    </row>
    <row r="235" spans="1:10" x14ac:dyDescent="0.3">
      <c r="A235" s="1">
        <v>45392</v>
      </c>
      <c r="B235">
        <v>18</v>
      </c>
      <c r="C235">
        <v>3960.7629999999999</v>
      </c>
      <c r="D235">
        <v>1974.6130000000001</v>
      </c>
      <c r="E235" t="b">
        <f>IF(energia[[#This Row],[Zrodla_wiatrowe]]&gt;C234,TRUE,FALSE)</f>
        <v>1</v>
      </c>
      <c r="F235">
        <f>IF(energia[[#This Row],[Czy wiatr rosło]],F234+1,1)</f>
        <v>3</v>
      </c>
      <c r="G235">
        <v>7655.86</v>
      </c>
      <c r="H235" s="6">
        <f>(energia[[#This Row],[Zrodla_wiatrowe]]+energia[[#This Row],[Zrodla_fotowoltaiczne]])</f>
        <v>5935.3760000000002</v>
      </c>
      <c r="I235" s="6">
        <f>I234+energia[[#This Row],[Łączna produkcja]]-energia[[#This Row],[Zapotrzebowanie]]</f>
        <v>288738.38500000013</v>
      </c>
      <c r="J235" t="b">
        <f>IF(energia[[#This Row],[Magazyn]]&lt;0,TRUE,FALSE)</f>
        <v>0</v>
      </c>
    </row>
    <row r="236" spans="1:10" x14ac:dyDescent="0.3">
      <c r="A236" s="1">
        <v>45392</v>
      </c>
      <c r="B236">
        <v>19</v>
      </c>
      <c r="C236">
        <v>3623.4250000000002</v>
      </c>
      <c r="D236">
        <v>886.15</v>
      </c>
      <c r="E236" t="b">
        <f>IF(energia[[#This Row],[Zrodla_wiatrowe]]&gt;C235,TRUE,FALSE)</f>
        <v>0</v>
      </c>
      <c r="F236">
        <f>IF(energia[[#This Row],[Czy wiatr rosło]],F235+1,1)</f>
        <v>1</v>
      </c>
      <c r="G236">
        <v>6841.5709999999999</v>
      </c>
      <c r="H236" s="6">
        <f>(energia[[#This Row],[Zrodla_wiatrowe]]+energia[[#This Row],[Zrodla_fotowoltaiczne]])</f>
        <v>4509.5749999999998</v>
      </c>
      <c r="I236" s="6">
        <f>I235+energia[[#This Row],[Łączna produkcja]]-energia[[#This Row],[Zapotrzebowanie]]</f>
        <v>286406.38900000014</v>
      </c>
      <c r="J236" t="b">
        <f>IF(energia[[#This Row],[Magazyn]]&lt;0,TRUE,FALSE)</f>
        <v>0</v>
      </c>
    </row>
    <row r="237" spans="1:10" x14ac:dyDescent="0.3">
      <c r="A237" s="1">
        <v>45392</v>
      </c>
      <c r="B237">
        <v>20</v>
      </c>
      <c r="C237">
        <v>3358</v>
      </c>
      <c r="D237">
        <v>246.68799999999999</v>
      </c>
      <c r="E237" t="b">
        <f>IF(energia[[#This Row],[Zrodla_wiatrowe]]&gt;C236,TRUE,FALSE)</f>
        <v>0</v>
      </c>
      <c r="F237">
        <f>IF(energia[[#This Row],[Czy wiatr rosło]],F236+1,1)</f>
        <v>1</v>
      </c>
      <c r="G237">
        <v>6656.35</v>
      </c>
      <c r="H237" s="6">
        <f>(energia[[#This Row],[Zrodla_wiatrowe]]+energia[[#This Row],[Zrodla_fotowoltaiczne]])</f>
        <v>3604.6880000000001</v>
      </c>
      <c r="I237" s="6">
        <f>I236+energia[[#This Row],[Łączna produkcja]]-energia[[#This Row],[Zapotrzebowanie]]</f>
        <v>283354.72700000019</v>
      </c>
      <c r="J237" t="b">
        <f>IF(energia[[#This Row],[Magazyn]]&lt;0,TRUE,FALSE)</f>
        <v>0</v>
      </c>
    </row>
    <row r="238" spans="1:10" x14ac:dyDescent="0.3">
      <c r="A238" s="1">
        <v>45392</v>
      </c>
      <c r="B238">
        <v>21</v>
      </c>
      <c r="C238">
        <v>2812.4630000000002</v>
      </c>
      <c r="D238">
        <v>0</v>
      </c>
      <c r="E238" t="b">
        <f>IF(energia[[#This Row],[Zrodla_wiatrowe]]&gt;C237,TRUE,FALSE)</f>
        <v>0</v>
      </c>
      <c r="F238">
        <f>IF(energia[[#This Row],[Czy wiatr rosło]],F237+1,1)</f>
        <v>1</v>
      </c>
      <c r="G238">
        <v>5172.1189999999997</v>
      </c>
      <c r="H238" s="6">
        <f>(energia[[#This Row],[Zrodla_wiatrowe]]+energia[[#This Row],[Zrodla_fotowoltaiczne]])</f>
        <v>2812.4630000000002</v>
      </c>
      <c r="I238" s="6">
        <f>I237+energia[[#This Row],[Łączna produkcja]]-energia[[#This Row],[Zapotrzebowanie]]</f>
        <v>280995.07100000017</v>
      </c>
      <c r="J238" t="b">
        <f>IF(energia[[#This Row],[Magazyn]]&lt;0,TRUE,FALSE)</f>
        <v>0</v>
      </c>
    </row>
    <row r="239" spans="1:10" x14ac:dyDescent="0.3">
      <c r="A239" s="1">
        <v>45392</v>
      </c>
      <c r="B239">
        <v>22</v>
      </c>
      <c r="C239">
        <v>2481.4879999999998</v>
      </c>
      <c r="D239">
        <v>0</v>
      </c>
      <c r="E239" t="b">
        <f>IF(energia[[#This Row],[Zrodla_wiatrowe]]&gt;C238,TRUE,FALSE)</f>
        <v>0</v>
      </c>
      <c r="F239">
        <f>IF(energia[[#This Row],[Czy wiatr rosło]],F238+1,1)</f>
        <v>1</v>
      </c>
      <c r="G239">
        <v>4992.277</v>
      </c>
      <c r="H239" s="6">
        <f>(energia[[#This Row],[Zrodla_wiatrowe]]+energia[[#This Row],[Zrodla_fotowoltaiczne]])</f>
        <v>2481.4879999999998</v>
      </c>
      <c r="I239" s="6">
        <f>I238+energia[[#This Row],[Łączna produkcja]]-energia[[#This Row],[Zapotrzebowanie]]</f>
        <v>278484.28200000018</v>
      </c>
      <c r="J239" t="b">
        <f>IF(energia[[#This Row],[Magazyn]]&lt;0,TRUE,FALSE)</f>
        <v>0</v>
      </c>
    </row>
    <row r="240" spans="1:10" x14ac:dyDescent="0.3">
      <c r="A240" s="1">
        <v>45392</v>
      </c>
      <c r="B240">
        <v>23</v>
      </c>
      <c r="C240">
        <v>2211.875</v>
      </c>
      <c r="D240">
        <v>0</v>
      </c>
      <c r="E240" t="b">
        <f>IF(energia[[#This Row],[Zrodla_wiatrowe]]&gt;C239,TRUE,FALSE)</f>
        <v>0</v>
      </c>
      <c r="F240">
        <f>IF(energia[[#This Row],[Czy wiatr rosło]],F239+1,1)</f>
        <v>1</v>
      </c>
      <c r="G240">
        <v>3092.7820000000002</v>
      </c>
      <c r="H240" s="6">
        <f>(energia[[#This Row],[Zrodla_wiatrowe]]+energia[[#This Row],[Zrodla_fotowoltaiczne]])</f>
        <v>2211.875</v>
      </c>
      <c r="I240" s="6">
        <f>I239+energia[[#This Row],[Łączna produkcja]]-energia[[#This Row],[Zapotrzebowanie]]</f>
        <v>277603.37500000017</v>
      </c>
      <c r="J240" t="b">
        <f>IF(energia[[#This Row],[Magazyn]]&lt;0,TRUE,FALSE)</f>
        <v>0</v>
      </c>
    </row>
    <row r="241" spans="1:10" x14ac:dyDescent="0.3">
      <c r="A241" s="1">
        <v>45392</v>
      </c>
      <c r="B241">
        <v>24</v>
      </c>
      <c r="C241">
        <v>1934.45</v>
      </c>
      <c r="D241">
        <v>0</v>
      </c>
      <c r="E241" t="b">
        <f>IF(energia[[#This Row],[Zrodla_wiatrowe]]&gt;C240,TRUE,FALSE)</f>
        <v>0</v>
      </c>
      <c r="F241">
        <f>IF(energia[[#This Row],[Czy wiatr rosło]],F240+1,1)</f>
        <v>1</v>
      </c>
      <c r="G241">
        <v>1815.864</v>
      </c>
      <c r="H241" s="6">
        <f>(energia[[#This Row],[Zrodla_wiatrowe]]+energia[[#This Row],[Zrodla_fotowoltaiczne]])</f>
        <v>1934.45</v>
      </c>
      <c r="I241" s="6">
        <f>I240+energia[[#This Row],[Łączna produkcja]]-energia[[#This Row],[Zapotrzebowanie]]</f>
        <v>277721.96100000018</v>
      </c>
      <c r="J241" t="b">
        <f>IF(energia[[#This Row],[Magazyn]]&lt;0,TRUE,FALSE)</f>
        <v>0</v>
      </c>
    </row>
    <row r="242" spans="1:10" x14ac:dyDescent="0.3">
      <c r="A242" s="1">
        <v>45393</v>
      </c>
      <c r="B242">
        <v>1</v>
      </c>
      <c r="C242">
        <v>1638.913</v>
      </c>
      <c r="D242">
        <v>0</v>
      </c>
      <c r="E242" t="b">
        <f>IF(energia[[#This Row],[Zrodla_wiatrowe]]&gt;C241,TRUE,FALSE)</f>
        <v>0</v>
      </c>
      <c r="F242">
        <f>IF(energia[[#This Row],[Czy wiatr rosło]],F241+1,1)</f>
        <v>1</v>
      </c>
      <c r="G242">
        <v>1521.771</v>
      </c>
      <c r="H242" s="6">
        <f>(energia[[#This Row],[Zrodla_wiatrowe]]+energia[[#This Row],[Zrodla_fotowoltaiczne]])</f>
        <v>1638.913</v>
      </c>
      <c r="I242" s="6">
        <f>I241+energia[[#This Row],[Łączna produkcja]]-energia[[#This Row],[Zapotrzebowanie]]</f>
        <v>277839.10300000018</v>
      </c>
      <c r="J242" t="b">
        <f>IF(energia[[#This Row],[Magazyn]]&lt;0,TRUE,FALSE)</f>
        <v>0</v>
      </c>
    </row>
    <row r="243" spans="1:10" x14ac:dyDescent="0.3">
      <c r="A243" s="1">
        <v>45393</v>
      </c>
      <c r="B243">
        <v>2</v>
      </c>
      <c r="C243">
        <v>1527.213</v>
      </c>
      <c r="D243">
        <v>0</v>
      </c>
      <c r="E243" t="b">
        <f>IF(energia[[#This Row],[Zrodla_wiatrowe]]&gt;C242,TRUE,FALSE)</f>
        <v>0</v>
      </c>
      <c r="F243">
        <f>IF(energia[[#This Row],[Czy wiatr rosło]],F242+1,1)</f>
        <v>1</v>
      </c>
      <c r="G243">
        <v>1304.6990000000001</v>
      </c>
      <c r="H243" s="6">
        <f>(energia[[#This Row],[Zrodla_wiatrowe]]+energia[[#This Row],[Zrodla_fotowoltaiczne]])</f>
        <v>1527.213</v>
      </c>
      <c r="I243" s="6">
        <f>I242+energia[[#This Row],[Łączna produkcja]]-energia[[#This Row],[Zapotrzebowanie]]</f>
        <v>278061.61700000014</v>
      </c>
      <c r="J243" t="b">
        <f>IF(energia[[#This Row],[Magazyn]]&lt;0,TRUE,FALSE)</f>
        <v>0</v>
      </c>
    </row>
    <row r="244" spans="1:10" x14ac:dyDescent="0.3">
      <c r="A244" s="1">
        <v>45393</v>
      </c>
      <c r="B244">
        <v>3</v>
      </c>
      <c r="C244">
        <v>1750.7380000000001</v>
      </c>
      <c r="D244">
        <v>0</v>
      </c>
      <c r="E244" t="b">
        <f>IF(energia[[#This Row],[Zrodla_wiatrowe]]&gt;C243,TRUE,FALSE)</f>
        <v>1</v>
      </c>
      <c r="F244">
        <f>IF(energia[[#This Row],[Czy wiatr rosło]],F243+1,1)</f>
        <v>2</v>
      </c>
      <c r="G244">
        <v>1220.2670000000001</v>
      </c>
      <c r="H244" s="6">
        <f>(energia[[#This Row],[Zrodla_wiatrowe]]+energia[[#This Row],[Zrodla_fotowoltaiczne]])</f>
        <v>1750.7380000000001</v>
      </c>
      <c r="I244" s="6">
        <f>I243+energia[[#This Row],[Łączna produkcja]]-energia[[#This Row],[Zapotrzebowanie]]</f>
        <v>278592.08800000016</v>
      </c>
      <c r="J244" t="b">
        <f>IF(energia[[#This Row],[Magazyn]]&lt;0,TRUE,FALSE)</f>
        <v>0</v>
      </c>
    </row>
    <row r="245" spans="1:10" x14ac:dyDescent="0.3">
      <c r="A245" s="1">
        <v>45393</v>
      </c>
      <c r="B245">
        <v>4</v>
      </c>
      <c r="C245">
        <v>1987.7750000000001</v>
      </c>
      <c r="D245">
        <v>0</v>
      </c>
      <c r="E245" t="b">
        <f>IF(energia[[#This Row],[Zrodla_wiatrowe]]&gt;C244,TRUE,FALSE)</f>
        <v>1</v>
      </c>
      <c r="F245">
        <f>IF(energia[[#This Row],[Czy wiatr rosło]],F244+1,1)</f>
        <v>3</v>
      </c>
      <c r="G245">
        <v>1222.769</v>
      </c>
      <c r="H245" s="6">
        <f>(energia[[#This Row],[Zrodla_wiatrowe]]+energia[[#This Row],[Zrodla_fotowoltaiczne]])</f>
        <v>1987.7750000000001</v>
      </c>
      <c r="I245" s="6">
        <f>I244+energia[[#This Row],[Łączna produkcja]]-energia[[#This Row],[Zapotrzebowanie]]</f>
        <v>279357.09400000022</v>
      </c>
      <c r="J245" t="b">
        <f>IF(energia[[#This Row],[Magazyn]]&lt;0,TRUE,FALSE)</f>
        <v>0</v>
      </c>
    </row>
    <row r="246" spans="1:10" x14ac:dyDescent="0.3">
      <c r="A246" s="1">
        <v>45393</v>
      </c>
      <c r="B246">
        <v>5</v>
      </c>
      <c r="C246">
        <v>2160.15</v>
      </c>
      <c r="D246">
        <v>0</v>
      </c>
      <c r="E246" t="b">
        <f>IF(energia[[#This Row],[Zrodla_wiatrowe]]&gt;C245,TRUE,FALSE)</f>
        <v>1</v>
      </c>
      <c r="F246">
        <f>IF(energia[[#This Row],[Czy wiatr rosło]],F245+1,1)</f>
        <v>4</v>
      </c>
      <c r="G246">
        <v>1833.1</v>
      </c>
      <c r="H246" s="6">
        <f>(energia[[#This Row],[Zrodla_wiatrowe]]+energia[[#This Row],[Zrodla_fotowoltaiczne]])</f>
        <v>2160.15</v>
      </c>
      <c r="I246" s="6">
        <f>I245+energia[[#This Row],[Łączna produkcja]]-energia[[#This Row],[Zapotrzebowanie]]</f>
        <v>279684.14400000026</v>
      </c>
      <c r="J246" t="b">
        <f>IF(energia[[#This Row],[Magazyn]]&lt;0,TRUE,FALSE)</f>
        <v>0</v>
      </c>
    </row>
    <row r="247" spans="1:10" x14ac:dyDescent="0.3">
      <c r="A247" s="1">
        <v>45393</v>
      </c>
      <c r="B247">
        <v>6</v>
      </c>
      <c r="C247">
        <v>2402.913</v>
      </c>
      <c r="D247">
        <v>88.174999999999997</v>
      </c>
      <c r="E247" t="b">
        <f>IF(energia[[#This Row],[Zrodla_wiatrowe]]&gt;C246,TRUE,FALSE)</f>
        <v>1</v>
      </c>
      <c r="F247">
        <f>IF(energia[[#This Row],[Czy wiatr rosło]],F246+1,1)</f>
        <v>5</v>
      </c>
      <c r="G247">
        <v>3035.6750000000002</v>
      </c>
      <c r="H247" s="6">
        <f>(energia[[#This Row],[Zrodla_wiatrowe]]+energia[[#This Row],[Zrodla_fotowoltaiczne]])</f>
        <v>2491.0880000000002</v>
      </c>
      <c r="I247" s="6">
        <f>I246+energia[[#This Row],[Łączna produkcja]]-energia[[#This Row],[Zapotrzebowanie]]</f>
        <v>279139.55700000026</v>
      </c>
      <c r="J247" t="b">
        <f>IF(energia[[#This Row],[Magazyn]]&lt;0,TRUE,FALSE)</f>
        <v>0</v>
      </c>
    </row>
    <row r="248" spans="1:10" x14ac:dyDescent="0.3">
      <c r="A248" s="1">
        <v>45393</v>
      </c>
      <c r="B248">
        <v>7</v>
      </c>
      <c r="C248">
        <v>2549.5880000000002</v>
      </c>
      <c r="D248">
        <v>582.45000000000005</v>
      </c>
      <c r="E248" t="b">
        <f>IF(energia[[#This Row],[Zrodla_wiatrowe]]&gt;C247,TRUE,FALSE)</f>
        <v>1</v>
      </c>
      <c r="F248">
        <f>IF(energia[[#This Row],[Czy wiatr rosło]],F247+1,1)</f>
        <v>6</v>
      </c>
      <c r="G248">
        <v>4135.3029999999999</v>
      </c>
      <c r="H248" s="6">
        <f>(energia[[#This Row],[Zrodla_wiatrowe]]+energia[[#This Row],[Zrodla_fotowoltaiczne]])</f>
        <v>3132.0380000000005</v>
      </c>
      <c r="I248" s="6">
        <f>I247+energia[[#This Row],[Łączna produkcja]]-energia[[#This Row],[Zapotrzebowanie]]</f>
        <v>278136.29200000025</v>
      </c>
      <c r="J248" t="b">
        <f>IF(energia[[#This Row],[Magazyn]]&lt;0,TRUE,FALSE)</f>
        <v>0</v>
      </c>
    </row>
    <row r="249" spans="1:10" x14ac:dyDescent="0.3">
      <c r="A249" s="1">
        <v>45393</v>
      </c>
      <c r="B249">
        <v>8</v>
      </c>
      <c r="C249">
        <v>2267.6880000000001</v>
      </c>
      <c r="D249">
        <v>2271.6</v>
      </c>
      <c r="E249" t="b">
        <f>IF(energia[[#This Row],[Zrodla_wiatrowe]]&gt;C248,TRUE,FALSE)</f>
        <v>0</v>
      </c>
      <c r="F249">
        <f>IF(energia[[#This Row],[Czy wiatr rosło]],F248+1,1)</f>
        <v>1</v>
      </c>
      <c r="G249">
        <v>6116.73</v>
      </c>
      <c r="H249" s="6">
        <f>(energia[[#This Row],[Zrodla_wiatrowe]]+energia[[#This Row],[Zrodla_fotowoltaiczne]])</f>
        <v>4539.2880000000005</v>
      </c>
      <c r="I249" s="6">
        <f>I248+energia[[#This Row],[Łączna produkcja]]-energia[[#This Row],[Zapotrzebowanie]]</f>
        <v>276558.85000000027</v>
      </c>
      <c r="J249" t="b">
        <f>IF(energia[[#This Row],[Magazyn]]&lt;0,TRUE,FALSE)</f>
        <v>0</v>
      </c>
    </row>
    <row r="250" spans="1:10" x14ac:dyDescent="0.3">
      <c r="A250" s="1">
        <v>45393</v>
      </c>
      <c r="B250">
        <v>9</v>
      </c>
      <c r="C250">
        <v>1581.6</v>
      </c>
      <c r="D250">
        <v>5042.7749999999996</v>
      </c>
      <c r="E250" t="b">
        <f>IF(energia[[#This Row],[Zrodla_wiatrowe]]&gt;C249,TRUE,FALSE)</f>
        <v>0</v>
      </c>
      <c r="F250">
        <f>IF(energia[[#This Row],[Czy wiatr rosło]],F249+1,1)</f>
        <v>1</v>
      </c>
      <c r="G250">
        <v>6850.7330000000002</v>
      </c>
      <c r="H250" s="6">
        <f>(energia[[#This Row],[Zrodla_wiatrowe]]+energia[[#This Row],[Zrodla_fotowoltaiczne]])</f>
        <v>6624.375</v>
      </c>
      <c r="I250" s="6">
        <f>I249+energia[[#This Row],[Łączna produkcja]]-energia[[#This Row],[Zapotrzebowanie]]</f>
        <v>276332.49200000026</v>
      </c>
      <c r="J250" t="b">
        <f>IF(energia[[#This Row],[Magazyn]]&lt;0,TRUE,FALSE)</f>
        <v>0</v>
      </c>
    </row>
    <row r="251" spans="1:10" x14ac:dyDescent="0.3">
      <c r="A251" s="1">
        <v>45393</v>
      </c>
      <c r="B251">
        <v>10</v>
      </c>
      <c r="C251">
        <v>1755.35</v>
      </c>
      <c r="D251">
        <v>7490.9129999999996</v>
      </c>
      <c r="E251" t="b">
        <f>IF(energia[[#This Row],[Zrodla_wiatrowe]]&gt;C250,TRUE,FALSE)</f>
        <v>1</v>
      </c>
      <c r="F251">
        <f>IF(energia[[#This Row],[Czy wiatr rosło]],F250+1,1)</f>
        <v>2</v>
      </c>
      <c r="G251">
        <v>7646.2349999999997</v>
      </c>
      <c r="H251" s="6">
        <f>(energia[[#This Row],[Zrodla_wiatrowe]]+energia[[#This Row],[Zrodla_fotowoltaiczne]])</f>
        <v>9246.262999999999</v>
      </c>
      <c r="I251" s="6">
        <f>I250+energia[[#This Row],[Łączna produkcja]]-energia[[#This Row],[Zapotrzebowanie]]</f>
        <v>277932.52000000025</v>
      </c>
      <c r="J251" t="b">
        <f>IF(energia[[#This Row],[Magazyn]]&lt;0,TRUE,FALSE)</f>
        <v>0</v>
      </c>
    </row>
    <row r="252" spans="1:10" x14ac:dyDescent="0.3">
      <c r="A252" s="1">
        <v>45393</v>
      </c>
      <c r="B252">
        <v>11</v>
      </c>
      <c r="C252">
        <v>2822.663</v>
      </c>
      <c r="D252">
        <v>9037.7749999999996</v>
      </c>
      <c r="E252" t="b">
        <f>IF(energia[[#This Row],[Zrodla_wiatrowe]]&gt;C251,TRUE,FALSE)</f>
        <v>1</v>
      </c>
      <c r="F252">
        <f>IF(energia[[#This Row],[Czy wiatr rosło]],F251+1,1)</f>
        <v>3</v>
      </c>
      <c r="G252">
        <v>7624.7520000000004</v>
      </c>
      <c r="H252" s="6">
        <f>(energia[[#This Row],[Zrodla_wiatrowe]]+energia[[#This Row],[Zrodla_fotowoltaiczne]])</f>
        <v>11860.438</v>
      </c>
      <c r="I252" s="6">
        <f>I251+energia[[#This Row],[Łączna produkcja]]-energia[[#This Row],[Zapotrzebowanie]]</f>
        <v>282168.2060000003</v>
      </c>
      <c r="J252" t="b">
        <f>IF(energia[[#This Row],[Magazyn]]&lt;0,TRUE,FALSE)</f>
        <v>0</v>
      </c>
    </row>
    <row r="253" spans="1:10" x14ac:dyDescent="0.3">
      <c r="A253" s="1">
        <v>45393</v>
      </c>
      <c r="B253">
        <v>12</v>
      </c>
      <c r="C253">
        <v>3507.3879999999999</v>
      </c>
      <c r="D253">
        <v>9569.2880000000005</v>
      </c>
      <c r="E253" t="b">
        <f>IF(energia[[#This Row],[Zrodla_wiatrowe]]&gt;C252,TRUE,FALSE)</f>
        <v>1</v>
      </c>
      <c r="F253">
        <f>IF(energia[[#This Row],[Czy wiatr rosło]],F252+1,1)</f>
        <v>4</v>
      </c>
      <c r="G253">
        <v>7751.4620000000004</v>
      </c>
      <c r="H253" s="6">
        <f>(energia[[#This Row],[Zrodla_wiatrowe]]+energia[[#This Row],[Zrodla_fotowoltaiczne]])</f>
        <v>13076.675999999999</v>
      </c>
      <c r="I253" s="6">
        <f>I252+energia[[#This Row],[Łączna produkcja]]-energia[[#This Row],[Zapotrzebowanie]]</f>
        <v>287493.42000000027</v>
      </c>
      <c r="J253" t="b">
        <f>IF(energia[[#This Row],[Magazyn]]&lt;0,TRUE,FALSE)</f>
        <v>0</v>
      </c>
    </row>
    <row r="254" spans="1:10" x14ac:dyDescent="0.3">
      <c r="A254" s="1">
        <v>45393</v>
      </c>
      <c r="B254">
        <v>13</v>
      </c>
      <c r="C254">
        <v>3629.288</v>
      </c>
      <c r="D254">
        <v>8547.5249999999996</v>
      </c>
      <c r="E254" t="b">
        <f>IF(energia[[#This Row],[Zrodla_wiatrowe]]&gt;C253,TRUE,FALSE)</f>
        <v>1</v>
      </c>
      <c r="F254">
        <f>IF(energia[[#This Row],[Czy wiatr rosło]],F253+1,1)</f>
        <v>5</v>
      </c>
      <c r="G254">
        <v>8075.424</v>
      </c>
      <c r="H254" s="6">
        <f>(energia[[#This Row],[Zrodla_wiatrowe]]+energia[[#This Row],[Zrodla_fotowoltaiczne]])</f>
        <v>12176.813</v>
      </c>
      <c r="I254" s="6">
        <f>I253+energia[[#This Row],[Łączna produkcja]]-energia[[#This Row],[Zapotrzebowanie]]</f>
        <v>291594.8090000003</v>
      </c>
      <c r="J254" t="b">
        <f>IF(energia[[#This Row],[Magazyn]]&lt;0,TRUE,FALSE)</f>
        <v>0</v>
      </c>
    </row>
    <row r="255" spans="1:10" x14ac:dyDescent="0.3">
      <c r="A255" s="1">
        <v>45393</v>
      </c>
      <c r="B255">
        <v>14</v>
      </c>
      <c r="C255">
        <v>3533.5749999999998</v>
      </c>
      <c r="D255">
        <v>8090.6</v>
      </c>
      <c r="E255" t="b">
        <f>IF(energia[[#This Row],[Zrodla_wiatrowe]]&gt;C254,TRUE,FALSE)</f>
        <v>0</v>
      </c>
      <c r="F255">
        <f>IF(energia[[#This Row],[Czy wiatr rosło]],F254+1,1)</f>
        <v>1</v>
      </c>
      <c r="G255">
        <v>7629.17</v>
      </c>
      <c r="H255" s="6">
        <f>(energia[[#This Row],[Zrodla_wiatrowe]]+energia[[#This Row],[Zrodla_fotowoltaiczne]])</f>
        <v>11624.174999999999</v>
      </c>
      <c r="I255" s="6">
        <f>I254+energia[[#This Row],[Łączna produkcja]]-energia[[#This Row],[Zapotrzebowanie]]</f>
        <v>295589.8140000003</v>
      </c>
      <c r="J255" t="b">
        <f>IF(energia[[#This Row],[Magazyn]]&lt;0,TRUE,FALSE)</f>
        <v>0</v>
      </c>
    </row>
    <row r="256" spans="1:10" x14ac:dyDescent="0.3">
      <c r="A256" s="1">
        <v>45393</v>
      </c>
      <c r="B256">
        <v>15</v>
      </c>
      <c r="C256">
        <v>3454.413</v>
      </c>
      <c r="D256">
        <v>7545.5749999999998</v>
      </c>
      <c r="E256" t="b">
        <f>IF(energia[[#This Row],[Zrodla_wiatrowe]]&gt;C255,TRUE,FALSE)</f>
        <v>0</v>
      </c>
      <c r="F256">
        <f>IF(energia[[#This Row],[Czy wiatr rosło]],F255+1,1)</f>
        <v>1</v>
      </c>
      <c r="G256">
        <v>7864.92</v>
      </c>
      <c r="H256" s="6">
        <f>(energia[[#This Row],[Zrodla_wiatrowe]]+energia[[#This Row],[Zrodla_fotowoltaiczne]])</f>
        <v>10999.987999999999</v>
      </c>
      <c r="I256" s="6">
        <f>I255+energia[[#This Row],[Łączna produkcja]]-energia[[#This Row],[Zapotrzebowanie]]</f>
        <v>298724.88200000033</v>
      </c>
      <c r="J256" t="b">
        <f>IF(energia[[#This Row],[Magazyn]]&lt;0,TRUE,FALSE)</f>
        <v>0</v>
      </c>
    </row>
    <row r="257" spans="1:10" x14ac:dyDescent="0.3">
      <c r="A257" s="1">
        <v>45393</v>
      </c>
      <c r="B257">
        <v>16</v>
      </c>
      <c r="C257">
        <v>3591.6129999999998</v>
      </c>
      <c r="D257">
        <v>6990.2250000000004</v>
      </c>
      <c r="E257" t="b">
        <f>IF(energia[[#This Row],[Zrodla_wiatrowe]]&gt;C256,TRUE,FALSE)</f>
        <v>1</v>
      </c>
      <c r="F257">
        <f>IF(energia[[#This Row],[Czy wiatr rosło]],F256+1,1)</f>
        <v>2</v>
      </c>
      <c r="G257">
        <v>7920.9430000000002</v>
      </c>
      <c r="H257" s="6">
        <f>(energia[[#This Row],[Zrodla_wiatrowe]]+energia[[#This Row],[Zrodla_fotowoltaiczne]])</f>
        <v>10581.838</v>
      </c>
      <c r="I257" s="6">
        <f>I256+energia[[#This Row],[Łączna produkcja]]-energia[[#This Row],[Zapotrzebowanie]]</f>
        <v>301385.77700000029</v>
      </c>
      <c r="J257" t="b">
        <f>IF(energia[[#This Row],[Magazyn]]&lt;0,TRUE,FALSE)</f>
        <v>0</v>
      </c>
    </row>
    <row r="258" spans="1:10" x14ac:dyDescent="0.3">
      <c r="A258" s="1">
        <v>45393</v>
      </c>
      <c r="B258">
        <v>17</v>
      </c>
      <c r="C258">
        <v>3269.375</v>
      </c>
      <c r="D258">
        <v>5827.9629999999997</v>
      </c>
      <c r="E258" t="b">
        <f>IF(energia[[#This Row],[Zrodla_wiatrowe]]&gt;C257,TRUE,FALSE)</f>
        <v>0</v>
      </c>
      <c r="F258">
        <f>IF(energia[[#This Row],[Czy wiatr rosło]],F257+1,1)</f>
        <v>1</v>
      </c>
      <c r="G258">
        <v>7643.3109999999997</v>
      </c>
      <c r="H258" s="6">
        <f>(energia[[#This Row],[Zrodla_wiatrowe]]+energia[[#This Row],[Zrodla_fotowoltaiczne]])</f>
        <v>9097.3379999999997</v>
      </c>
      <c r="I258" s="6">
        <f>I257+energia[[#This Row],[Łączna produkcja]]-energia[[#This Row],[Zapotrzebowanie]]</f>
        <v>302839.80400000029</v>
      </c>
      <c r="J258" t="b">
        <f>IF(energia[[#This Row],[Magazyn]]&lt;0,TRUE,FALSE)</f>
        <v>0</v>
      </c>
    </row>
    <row r="259" spans="1:10" x14ac:dyDescent="0.3">
      <c r="A259" s="1">
        <v>45393</v>
      </c>
      <c r="B259">
        <v>18</v>
      </c>
      <c r="C259">
        <v>2779.7249999999999</v>
      </c>
      <c r="D259">
        <v>3712.3249999999998</v>
      </c>
      <c r="E259" t="b">
        <f>IF(energia[[#This Row],[Zrodla_wiatrowe]]&gt;C258,TRUE,FALSE)</f>
        <v>0</v>
      </c>
      <c r="F259">
        <f>IF(energia[[#This Row],[Czy wiatr rosło]],F258+1,1)</f>
        <v>1</v>
      </c>
      <c r="G259">
        <v>7211.0309999999999</v>
      </c>
      <c r="H259" s="6">
        <f>(energia[[#This Row],[Zrodla_wiatrowe]]+energia[[#This Row],[Zrodla_fotowoltaiczne]])</f>
        <v>6492.0499999999993</v>
      </c>
      <c r="I259" s="6">
        <f>I258+energia[[#This Row],[Łączna produkcja]]-energia[[#This Row],[Zapotrzebowanie]]</f>
        <v>302120.82300000027</v>
      </c>
      <c r="J259" t="b">
        <f>IF(energia[[#This Row],[Magazyn]]&lt;0,TRUE,FALSE)</f>
        <v>0</v>
      </c>
    </row>
    <row r="260" spans="1:10" x14ac:dyDescent="0.3">
      <c r="A260" s="1">
        <v>45393</v>
      </c>
      <c r="B260">
        <v>19</v>
      </c>
      <c r="C260">
        <v>2522.7629999999999</v>
      </c>
      <c r="D260">
        <v>1590.8</v>
      </c>
      <c r="E260" t="b">
        <f>IF(energia[[#This Row],[Zrodla_wiatrowe]]&gt;C259,TRUE,FALSE)</f>
        <v>0</v>
      </c>
      <c r="F260">
        <f>IF(energia[[#This Row],[Czy wiatr rosło]],F259+1,1)</f>
        <v>1</v>
      </c>
      <c r="G260">
        <v>6444.0550000000003</v>
      </c>
      <c r="H260" s="6">
        <f>(energia[[#This Row],[Zrodla_wiatrowe]]+energia[[#This Row],[Zrodla_fotowoltaiczne]])</f>
        <v>4113.5630000000001</v>
      </c>
      <c r="I260" s="6">
        <f>I259+energia[[#This Row],[Łączna produkcja]]-energia[[#This Row],[Zapotrzebowanie]]</f>
        <v>299790.3310000003</v>
      </c>
      <c r="J260" t="b">
        <f>IF(energia[[#This Row],[Magazyn]]&lt;0,TRUE,FALSE)</f>
        <v>0</v>
      </c>
    </row>
    <row r="261" spans="1:10" x14ac:dyDescent="0.3">
      <c r="A261" s="1">
        <v>45393</v>
      </c>
      <c r="B261">
        <v>20</v>
      </c>
      <c r="C261">
        <v>2597.7249999999999</v>
      </c>
      <c r="D261">
        <v>252.31299999999999</v>
      </c>
      <c r="E261" t="b">
        <f>IF(energia[[#This Row],[Zrodla_wiatrowe]]&gt;C260,TRUE,FALSE)</f>
        <v>1</v>
      </c>
      <c r="F261">
        <f>IF(energia[[#This Row],[Czy wiatr rosło]],F260+1,1)</f>
        <v>2</v>
      </c>
      <c r="G261">
        <v>6269.5959999999995</v>
      </c>
      <c r="H261" s="6">
        <f>(energia[[#This Row],[Zrodla_wiatrowe]]+energia[[#This Row],[Zrodla_fotowoltaiczne]])</f>
        <v>2850.038</v>
      </c>
      <c r="I261" s="6">
        <f>I260+energia[[#This Row],[Łączna produkcja]]-energia[[#This Row],[Zapotrzebowanie]]</f>
        <v>296370.77300000028</v>
      </c>
      <c r="J261" t="b">
        <f>IF(energia[[#This Row],[Magazyn]]&lt;0,TRUE,FALSE)</f>
        <v>0</v>
      </c>
    </row>
    <row r="262" spans="1:10" x14ac:dyDescent="0.3">
      <c r="A262" s="1">
        <v>45393</v>
      </c>
      <c r="B262">
        <v>21</v>
      </c>
      <c r="C262">
        <v>2912.288</v>
      </c>
      <c r="D262">
        <v>0</v>
      </c>
      <c r="E262" t="b">
        <f>IF(energia[[#This Row],[Zrodla_wiatrowe]]&gt;C261,TRUE,FALSE)</f>
        <v>1</v>
      </c>
      <c r="F262">
        <f>IF(energia[[#This Row],[Czy wiatr rosło]],F261+1,1)</f>
        <v>3</v>
      </c>
      <c r="G262">
        <v>4871.6040000000003</v>
      </c>
      <c r="H262" s="6">
        <f>(energia[[#This Row],[Zrodla_wiatrowe]]+energia[[#This Row],[Zrodla_fotowoltaiczne]])</f>
        <v>2912.288</v>
      </c>
      <c r="I262" s="6">
        <f>I261+energia[[#This Row],[Łączna produkcja]]-energia[[#This Row],[Zapotrzebowanie]]</f>
        <v>294411.45700000029</v>
      </c>
      <c r="J262" t="b">
        <f>IF(energia[[#This Row],[Magazyn]]&lt;0,TRUE,FALSE)</f>
        <v>0</v>
      </c>
    </row>
    <row r="263" spans="1:10" x14ac:dyDescent="0.3">
      <c r="A263" s="1">
        <v>45393</v>
      </c>
      <c r="B263">
        <v>22</v>
      </c>
      <c r="C263">
        <v>2870.375</v>
      </c>
      <c r="D263">
        <v>0</v>
      </c>
      <c r="E263" t="b">
        <f>IF(energia[[#This Row],[Zrodla_wiatrowe]]&gt;C262,TRUE,FALSE)</f>
        <v>0</v>
      </c>
      <c r="F263">
        <f>IF(energia[[#This Row],[Czy wiatr rosło]],F262+1,1)</f>
        <v>1</v>
      </c>
      <c r="G263">
        <v>4702.2110000000002</v>
      </c>
      <c r="H263" s="6">
        <f>(energia[[#This Row],[Zrodla_wiatrowe]]+energia[[#This Row],[Zrodla_fotowoltaiczne]])</f>
        <v>2870.375</v>
      </c>
      <c r="I263" s="6">
        <f>I262+energia[[#This Row],[Łączna produkcja]]-energia[[#This Row],[Zapotrzebowanie]]</f>
        <v>292579.62100000028</v>
      </c>
      <c r="J263" t="b">
        <f>IF(energia[[#This Row],[Magazyn]]&lt;0,TRUE,FALSE)</f>
        <v>0</v>
      </c>
    </row>
    <row r="264" spans="1:10" x14ac:dyDescent="0.3">
      <c r="A264" s="1">
        <v>45393</v>
      </c>
      <c r="B264">
        <v>23</v>
      </c>
      <c r="C264">
        <v>2862.6129999999998</v>
      </c>
      <c r="D264">
        <v>0</v>
      </c>
      <c r="E264" t="b">
        <f>IF(energia[[#This Row],[Zrodla_wiatrowe]]&gt;C263,TRUE,FALSE)</f>
        <v>0</v>
      </c>
      <c r="F264">
        <f>IF(energia[[#This Row],[Czy wiatr rosło]],F263+1,1)</f>
        <v>1</v>
      </c>
      <c r="G264">
        <v>2913.0819999999999</v>
      </c>
      <c r="H264" s="6">
        <f>(energia[[#This Row],[Zrodla_wiatrowe]]+energia[[#This Row],[Zrodla_fotowoltaiczne]])</f>
        <v>2862.6129999999998</v>
      </c>
      <c r="I264" s="6">
        <f>I263+energia[[#This Row],[Łączna produkcja]]-energia[[#This Row],[Zapotrzebowanie]]</f>
        <v>292529.15200000029</v>
      </c>
      <c r="J264" t="b">
        <f>IF(energia[[#This Row],[Magazyn]]&lt;0,TRUE,FALSE)</f>
        <v>0</v>
      </c>
    </row>
    <row r="265" spans="1:10" x14ac:dyDescent="0.3">
      <c r="A265" s="1">
        <v>45393</v>
      </c>
      <c r="B265">
        <v>24</v>
      </c>
      <c r="C265">
        <v>3080.8629999999998</v>
      </c>
      <c r="D265">
        <v>0</v>
      </c>
      <c r="E265" t="b">
        <f>IF(energia[[#This Row],[Zrodla_wiatrowe]]&gt;C264,TRUE,FALSE)</f>
        <v>1</v>
      </c>
      <c r="F265">
        <f>IF(energia[[#This Row],[Czy wiatr rosło]],F264+1,1)</f>
        <v>2</v>
      </c>
      <c r="G265">
        <v>1710.357</v>
      </c>
      <c r="H265" s="6">
        <f>(energia[[#This Row],[Zrodla_wiatrowe]]+energia[[#This Row],[Zrodla_fotowoltaiczne]])</f>
        <v>3080.8629999999998</v>
      </c>
      <c r="I265" s="6">
        <f>I264+energia[[#This Row],[Łączna produkcja]]-energia[[#This Row],[Zapotrzebowanie]]</f>
        <v>293899.65800000029</v>
      </c>
      <c r="J265" t="b">
        <f>IF(energia[[#This Row],[Magazyn]]&lt;0,TRUE,FALSE)</f>
        <v>0</v>
      </c>
    </row>
    <row r="266" spans="1:10" x14ac:dyDescent="0.3">
      <c r="A266" s="1">
        <v>45394</v>
      </c>
      <c r="B266">
        <v>1</v>
      </c>
      <c r="C266">
        <v>3101.038</v>
      </c>
      <c r="D266">
        <v>0</v>
      </c>
      <c r="E266" t="b">
        <f>IF(energia[[#This Row],[Zrodla_wiatrowe]]&gt;C265,TRUE,FALSE)</f>
        <v>1</v>
      </c>
      <c r="F266">
        <f>IF(energia[[#This Row],[Czy wiatr rosło]],F265+1,1)</f>
        <v>3</v>
      </c>
      <c r="G266">
        <v>1548.019</v>
      </c>
      <c r="H266" s="6">
        <f>(energia[[#This Row],[Zrodla_wiatrowe]]+energia[[#This Row],[Zrodla_fotowoltaiczne]])</f>
        <v>3101.038</v>
      </c>
      <c r="I266" s="6">
        <f>I265+energia[[#This Row],[Łączna produkcja]]-energia[[#This Row],[Zapotrzebowanie]]</f>
        <v>295452.67700000032</v>
      </c>
      <c r="J266" t="b">
        <f>IF(energia[[#This Row],[Magazyn]]&lt;0,TRUE,FALSE)</f>
        <v>0</v>
      </c>
    </row>
    <row r="267" spans="1:10" x14ac:dyDescent="0.3">
      <c r="A267" s="1">
        <v>45394</v>
      </c>
      <c r="B267">
        <v>2</v>
      </c>
      <c r="C267">
        <v>3173.8380000000002</v>
      </c>
      <c r="D267">
        <v>0</v>
      </c>
      <c r="E267" t="b">
        <f>IF(energia[[#This Row],[Zrodla_wiatrowe]]&gt;C266,TRUE,FALSE)</f>
        <v>1</v>
      </c>
      <c r="F267">
        <f>IF(energia[[#This Row],[Czy wiatr rosło]],F266+1,1)</f>
        <v>4</v>
      </c>
      <c r="G267">
        <v>1327.203</v>
      </c>
      <c r="H267" s="6">
        <f>(energia[[#This Row],[Zrodla_wiatrowe]]+energia[[#This Row],[Zrodla_fotowoltaiczne]])</f>
        <v>3173.8380000000002</v>
      </c>
      <c r="I267" s="6">
        <f>I266+energia[[#This Row],[Łączna produkcja]]-energia[[#This Row],[Zapotrzebowanie]]</f>
        <v>297299.31200000033</v>
      </c>
      <c r="J267" t="b">
        <f>IF(energia[[#This Row],[Magazyn]]&lt;0,TRUE,FALSE)</f>
        <v>0</v>
      </c>
    </row>
    <row r="268" spans="1:10" x14ac:dyDescent="0.3">
      <c r="A268" s="1">
        <v>45394</v>
      </c>
      <c r="B268">
        <v>3</v>
      </c>
      <c r="C268">
        <v>3074.85</v>
      </c>
      <c r="D268">
        <v>0</v>
      </c>
      <c r="E268" t="b">
        <f>IF(energia[[#This Row],[Zrodla_wiatrowe]]&gt;C267,TRUE,FALSE)</f>
        <v>0</v>
      </c>
      <c r="F268">
        <f>IF(energia[[#This Row],[Czy wiatr rosło]],F267+1,1)</f>
        <v>1</v>
      </c>
      <c r="G268">
        <v>1241.3140000000001</v>
      </c>
      <c r="H268" s="6">
        <f>(energia[[#This Row],[Zrodla_wiatrowe]]+energia[[#This Row],[Zrodla_fotowoltaiczne]])</f>
        <v>3074.85</v>
      </c>
      <c r="I268" s="6">
        <f>I267+energia[[#This Row],[Łączna produkcja]]-energia[[#This Row],[Zapotrzebowanie]]</f>
        <v>299132.84800000029</v>
      </c>
      <c r="J268" t="b">
        <f>IF(energia[[#This Row],[Magazyn]]&lt;0,TRUE,FALSE)</f>
        <v>0</v>
      </c>
    </row>
    <row r="269" spans="1:10" x14ac:dyDescent="0.3">
      <c r="A269" s="1">
        <v>45394</v>
      </c>
      <c r="B269">
        <v>4</v>
      </c>
      <c r="C269">
        <v>2967.7</v>
      </c>
      <c r="D269">
        <v>0</v>
      </c>
      <c r="E269" t="b">
        <f>IF(energia[[#This Row],[Zrodla_wiatrowe]]&gt;C268,TRUE,FALSE)</f>
        <v>0</v>
      </c>
      <c r="F269">
        <f>IF(energia[[#This Row],[Czy wiatr rosło]],F268+1,1)</f>
        <v>1</v>
      </c>
      <c r="G269">
        <v>1243.8579999999999</v>
      </c>
      <c r="H269" s="6">
        <f>(energia[[#This Row],[Zrodla_wiatrowe]]+energia[[#This Row],[Zrodla_fotowoltaiczne]])</f>
        <v>2967.7</v>
      </c>
      <c r="I269" s="6">
        <f>I268+energia[[#This Row],[Łączna produkcja]]-energia[[#This Row],[Zapotrzebowanie]]</f>
        <v>300856.69000000029</v>
      </c>
      <c r="J269" t="b">
        <f>IF(energia[[#This Row],[Magazyn]]&lt;0,TRUE,FALSE)</f>
        <v>0</v>
      </c>
    </row>
    <row r="270" spans="1:10" x14ac:dyDescent="0.3">
      <c r="A270" s="1">
        <v>45394</v>
      </c>
      <c r="B270">
        <v>5</v>
      </c>
      <c r="C270">
        <v>2681.7750000000001</v>
      </c>
      <c r="D270">
        <v>0</v>
      </c>
      <c r="E270" t="b">
        <f>IF(energia[[#This Row],[Zrodla_wiatrowe]]&gt;C269,TRUE,FALSE)</f>
        <v>0</v>
      </c>
      <c r="F270">
        <f>IF(energia[[#This Row],[Czy wiatr rosło]],F269+1,1)</f>
        <v>1</v>
      </c>
      <c r="G270">
        <v>1864.7170000000001</v>
      </c>
      <c r="H270" s="6">
        <f>(energia[[#This Row],[Zrodla_wiatrowe]]+energia[[#This Row],[Zrodla_fotowoltaiczne]])</f>
        <v>2681.7750000000001</v>
      </c>
      <c r="I270" s="6">
        <f>I269+energia[[#This Row],[Łączna produkcja]]-energia[[#This Row],[Zapotrzebowanie]]</f>
        <v>301673.74800000031</v>
      </c>
      <c r="J270" t="b">
        <f>IF(energia[[#This Row],[Magazyn]]&lt;0,TRUE,FALSE)</f>
        <v>0</v>
      </c>
    </row>
    <row r="271" spans="1:10" x14ac:dyDescent="0.3">
      <c r="A271" s="1">
        <v>45394</v>
      </c>
      <c r="B271">
        <v>6</v>
      </c>
      <c r="C271">
        <v>2472.538</v>
      </c>
      <c r="D271">
        <v>6.7</v>
      </c>
      <c r="E271" t="b">
        <f>IF(energia[[#This Row],[Zrodla_wiatrowe]]&gt;C270,TRUE,FALSE)</f>
        <v>0</v>
      </c>
      <c r="F271">
        <f>IF(energia[[#This Row],[Czy wiatr rosło]],F270+1,1)</f>
        <v>1</v>
      </c>
      <c r="G271">
        <v>3088.0329999999999</v>
      </c>
      <c r="H271" s="6">
        <f>(energia[[#This Row],[Zrodla_wiatrowe]]+energia[[#This Row],[Zrodla_fotowoltaiczne]])</f>
        <v>2479.2379999999998</v>
      </c>
      <c r="I271" s="6">
        <f>I270+energia[[#This Row],[Łączna produkcja]]-energia[[#This Row],[Zapotrzebowanie]]</f>
        <v>301064.95300000033</v>
      </c>
      <c r="J271" t="b">
        <f>IF(energia[[#This Row],[Magazyn]]&lt;0,TRUE,FALSE)</f>
        <v>0</v>
      </c>
    </row>
    <row r="272" spans="1:10" x14ac:dyDescent="0.3">
      <c r="A272" s="1">
        <v>45394</v>
      </c>
      <c r="B272">
        <v>7</v>
      </c>
      <c r="C272">
        <v>2407.9380000000001</v>
      </c>
      <c r="D272">
        <v>319.18799999999999</v>
      </c>
      <c r="E272" t="b">
        <f>IF(energia[[#This Row],[Zrodla_wiatrowe]]&gt;C271,TRUE,FALSE)</f>
        <v>0</v>
      </c>
      <c r="F272">
        <f>IF(energia[[#This Row],[Czy wiatr rosło]],F271+1,1)</f>
        <v>1</v>
      </c>
      <c r="G272">
        <v>4206.6270000000004</v>
      </c>
      <c r="H272" s="6">
        <f>(energia[[#This Row],[Zrodla_wiatrowe]]+energia[[#This Row],[Zrodla_fotowoltaiczne]])</f>
        <v>2727.1260000000002</v>
      </c>
      <c r="I272" s="6">
        <f>I271+energia[[#This Row],[Łączna produkcja]]-energia[[#This Row],[Zapotrzebowanie]]</f>
        <v>299585.45200000034</v>
      </c>
      <c r="J272" t="b">
        <f>IF(energia[[#This Row],[Magazyn]]&lt;0,TRUE,FALSE)</f>
        <v>0</v>
      </c>
    </row>
    <row r="273" spans="1:10" x14ac:dyDescent="0.3">
      <c r="A273" s="1">
        <v>45394</v>
      </c>
      <c r="B273">
        <v>8</v>
      </c>
      <c r="C273">
        <v>2295.8380000000002</v>
      </c>
      <c r="D273">
        <v>1527.6</v>
      </c>
      <c r="E273" t="b">
        <f>IF(energia[[#This Row],[Zrodla_wiatrowe]]&gt;C272,TRUE,FALSE)</f>
        <v>0</v>
      </c>
      <c r="F273">
        <f>IF(energia[[#This Row],[Czy wiatr rosło]],F272+1,1)</f>
        <v>1</v>
      </c>
      <c r="G273">
        <v>6096.5280000000002</v>
      </c>
      <c r="H273" s="6">
        <f>(energia[[#This Row],[Zrodla_wiatrowe]]+energia[[#This Row],[Zrodla_fotowoltaiczne]])</f>
        <v>3823.4380000000001</v>
      </c>
      <c r="I273" s="6">
        <f>I272+energia[[#This Row],[Łączna produkcja]]-energia[[#This Row],[Zapotrzebowanie]]</f>
        <v>297312.36200000037</v>
      </c>
      <c r="J273" t="b">
        <f>IF(energia[[#This Row],[Magazyn]]&lt;0,TRUE,FALSE)</f>
        <v>0</v>
      </c>
    </row>
    <row r="274" spans="1:10" x14ac:dyDescent="0.3">
      <c r="A274" s="1">
        <v>45394</v>
      </c>
      <c r="B274">
        <v>9</v>
      </c>
      <c r="C274">
        <v>1778.85</v>
      </c>
      <c r="D274">
        <v>3144.538</v>
      </c>
      <c r="E274" t="b">
        <f>IF(energia[[#This Row],[Zrodla_wiatrowe]]&gt;C273,TRUE,FALSE)</f>
        <v>0</v>
      </c>
      <c r="F274">
        <f>IF(energia[[#This Row],[Czy wiatr rosło]],F273+1,1)</f>
        <v>1</v>
      </c>
      <c r="G274">
        <v>6828.107</v>
      </c>
      <c r="H274" s="6">
        <f>(energia[[#This Row],[Zrodla_wiatrowe]]+energia[[#This Row],[Zrodla_fotowoltaiczne]])</f>
        <v>4923.3879999999999</v>
      </c>
      <c r="I274" s="6">
        <f>I273+energia[[#This Row],[Łączna produkcja]]-energia[[#This Row],[Zapotrzebowanie]]</f>
        <v>295407.64300000033</v>
      </c>
      <c r="J274" t="b">
        <f>IF(energia[[#This Row],[Magazyn]]&lt;0,TRUE,FALSE)</f>
        <v>0</v>
      </c>
    </row>
    <row r="275" spans="1:10" x14ac:dyDescent="0.3">
      <c r="A275" s="1">
        <v>45394</v>
      </c>
      <c r="B275">
        <v>10</v>
      </c>
      <c r="C275">
        <v>1540.3130000000001</v>
      </c>
      <c r="D275">
        <v>4851.7129999999997</v>
      </c>
      <c r="E275" t="b">
        <f>IF(energia[[#This Row],[Zrodla_wiatrowe]]&gt;C274,TRUE,FALSE)</f>
        <v>0</v>
      </c>
      <c r="F275">
        <f>IF(energia[[#This Row],[Czy wiatr rosło]],F274+1,1)</f>
        <v>1</v>
      </c>
      <c r="G275">
        <v>7620.9809999999998</v>
      </c>
      <c r="H275" s="6">
        <f>(energia[[#This Row],[Zrodla_wiatrowe]]+energia[[#This Row],[Zrodla_fotowoltaiczne]])</f>
        <v>6392.0259999999998</v>
      </c>
      <c r="I275" s="6">
        <f>I274+energia[[#This Row],[Łączna produkcja]]-energia[[#This Row],[Zapotrzebowanie]]</f>
        <v>294178.68800000031</v>
      </c>
      <c r="J275" t="b">
        <f>IF(energia[[#This Row],[Magazyn]]&lt;0,TRUE,FALSE)</f>
        <v>0</v>
      </c>
    </row>
    <row r="276" spans="1:10" x14ac:dyDescent="0.3">
      <c r="A276" s="1">
        <v>45394</v>
      </c>
      <c r="B276">
        <v>11</v>
      </c>
      <c r="C276">
        <v>1619.088</v>
      </c>
      <c r="D276">
        <v>6000.0879999999997</v>
      </c>
      <c r="E276" t="b">
        <f>IF(energia[[#This Row],[Zrodla_wiatrowe]]&gt;C275,TRUE,FALSE)</f>
        <v>1</v>
      </c>
      <c r="F276">
        <f>IF(energia[[#This Row],[Czy wiatr rosło]],F275+1,1)</f>
        <v>2</v>
      </c>
      <c r="G276">
        <v>7599.5690000000004</v>
      </c>
      <c r="H276" s="6">
        <f>(energia[[#This Row],[Zrodla_wiatrowe]]+energia[[#This Row],[Zrodla_fotowoltaiczne]])</f>
        <v>7619.1759999999995</v>
      </c>
      <c r="I276" s="6">
        <f>I275+energia[[#This Row],[Łączna produkcja]]-energia[[#This Row],[Zapotrzebowanie]]</f>
        <v>294198.29500000027</v>
      </c>
      <c r="J276" t="b">
        <f>IF(energia[[#This Row],[Magazyn]]&lt;0,TRUE,FALSE)</f>
        <v>0</v>
      </c>
    </row>
    <row r="277" spans="1:10" x14ac:dyDescent="0.3">
      <c r="A277" s="1">
        <v>45394</v>
      </c>
      <c r="B277">
        <v>12</v>
      </c>
      <c r="C277">
        <v>2047.963</v>
      </c>
      <c r="D277">
        <v>6624.1</v>
      </c>
      <c r="E277" t="b">
        <f>IF(energia[[#This Row],[Zrodla_wiatrowe]]&gt;C276,TRUE,FALSE)</f>
        <v>1</v>
      </c>
      <c r="F277">
        <f>IF(energia[[#This Row],[Czy wiatr rosło]],F276+1,1)</f>
        <v>3</v>
      </c>
      <c r="G277">
        <v>7725.8609999999999</v>
      </c>
      <c r="H277" s="6">
        <f>(energia[[#This Row],[Zrodla_wiatrowe]]+energia[[#This Row],[Zrodla_fotowoltaiczne]])</f>
        <v>8672.0630000000001</v>
      </c>
      <c r="I277" s="6">
        <f>I276+energia[[#This Row],[Łączna produkcja]]-energia[[#This Row],[Zapotrzebowanie]]</f>
        <v>295144.49700000032</v>
      </c>
      <c r="J277" t="b">
        <f>IF(energia[[#This Row],[Magazyn]]&lt;0,TRUE,FALSE)</f>
        <v>0</v>
      </c>
    </row>
    <row r="278" spans="1:10" x14ac:dyDescent="0.3">
      <c r="A278" s="1">
        <v>45394</v>
      </c>
      <c r="B278">
        <v>13</v>
      </c>
      <c r="C278">
        <v>2346.5500000000002</v>
      </c>
      <c r="D278">
        <v>7019.0129999999999</v>
      </c>
      <c r="E278" t="b">
        <f>IF(energia[[#This Row],[Zrodla_wiatrowe]]&gt;C277,TRUE,FALSE)</f>
        <v>1</v>
      </c>
      <c r="F278">
        <f>IF(energia[[#This Row],[Czy wiatr rosło]],F277+1,1)</f>
        <v>4</v>
      </c>
      <c r="G278">
        <v>8048.7529999999997</v>
      </c>
      <c r="H278" s="6">
        <f>(energia[[#This Row],[Zrodla_wiatrowe]]+energia[[#This Row],[Zrodla_fotowoltaiczne]])</f>
        <v>9365.5630000000001</v>
      </c>
      <c r="I278" s="6">
        <f>I277+energia[[#This Row],[Łączna produkcja]]-energia[[#This Row],[Zapotrzebowanie]]</f>
        <v>296461.30700000032</v>
      </c>
      <c r="J278" t="b">
        <f>IF(energia[[#This Row],[Magazyn]]&lt;0,TRUE,FALSE)</f>
        <v>0</v>
      </c>
    </row>
    <row r="279" spans="1:10" x14ac:dyDescent="0.3">
      <c r="A279" s="1">
        <v>45394</v>
      </c>
      <c r="B279">
        <v>14</v>
      </c>
      <c r="C279">
        <v>2456.4749999999999</v>
      </c>
      <c r="D279">
        <v>7136.65</v>
      </c>
      <c r="E279" t="b">
        <f>IF(energia[[#This Row],[Zrodla_wiatrowe]]&gt;C278,TRUE,FALSE)</f>
        <v>1</v>
      </c>
      <c r="F279">
        <f>IF(energia[[#This Row],[Czy wiatr rosło]],F278+1,1)</f>
        <v>5</v>
      </c>
      <c r="G279">
        <v>7603.973</v>
      </c>
      <c r="H279" s="6">
        <f>(energia[[#This Row],[Zrodla_wiatrowe]]+energia[[#This Row],[Zrodla_fotowoltaiczne]])</f>
        <v>9593.125</v>
      </c>
      <c r="I279" s="6">
        <f>I278+energia[[#This Row],[Łączna produkcja]]-energia[[#This Row],[Zapotrzebowanie]]</f>
        <v>298450.45900000032</v>
      </c>
      <c r="J279" t="b">
        <f>IF(energia[[#This Row],[Magazyn]]&lt;0,TRUE,FALSE)</f>
        <v>0</v>
      </c>
    </row>
    <row r="280" spans="1:10" x14ac:dyDescent="0.3">
      <c r="A280" s="1">
        <v>45394</v>
      </c>
      <c r="B280">
        <v>15</v>
      </c>
      <c r="C280">
        <v>2641.05</v>
      </c>
      <c r="D280">
        <v>6773.8130000000001</v>
      </c>
      <c r="E280" t="b">
        <f>IF(energia[[#This Row],[Zrodla_wiatrowe]]&gt;C279,TRUE,FALSE)</f>
        <v>1</v>
      </c>
      <c r="F280">
        <f>IF(energia[[#This Row],[Czy wiatr rosło]],F279+1,1)</f>
        <v>6</v>
      </c>
      <c r="G280">
        <v>7838.9440000000004</v>
      </c>
      <c r="H280" s="6">
        <f>(energia[[#This Row],[Zrodla_wiatrowe]]+energia[[#This Row],[Zrodla_fotowoltaiczne]])</f>
        <v>9414.8630000000012</v>
      </c>
      <c r="I280" s="6">
        <f>I279+energia[[#This Row],[Łączna produkcja]]-energia[[#This Row],[Zapotrzebowanie]]</f>
        <v>300026.37800000032</v>
      </c>
      <c r="J280" t="b">
        <f>IF(energia[[#This Row],[Magazyn]]&lt;0,TRUE,FALSE)</f>
        <v>0</v>
      </c>
    </row>
    <row r="281" spans="1:10" x14ac:dyDescent="0.3">
      <c r="A281" s="1">
        <v>45394</v>
      </c>
      <c r="B281">
        <v>16</v>
      </c>
      <c r="C281">
        <v>2535.6999999999998</v>
      </c>
      <c r="D281">
        <v>6178.1750000000002</v>
      </c>
      <c r="E281" t="b">
        <f>IF(energia[[#This Row],[Zrodla_wiatrowe]]&gt;C280,TRUE,FALSE)</f>
        <v>0</v>
      </c>
      <c r="F281">
        <f>IF(energia[[#This Row],[Czy wiatr rosło]],F280+1,1)</f>
        <v>1</v>
      </c>
      <c r="G281">
        <v>8057.5609999999997</v>
      </c>
      <c r="H281" s="6">
        <f>(energia[[#This Row],[Zrodla_wiatrowe]]+energia[[#This Row],[Zrodla_fotowoltaiczne]])</f>
        <v>8713.875</v>
      </c>
      <c r="I281" s="6">
        <f>I280+energia[[#This Row],[Łączna produkcja]]-energia[[#This Row],[Zapotrzebowanie]]</f>
        <v>300682.69200000033</v>
      </c>
      <c r="J281" t="b">
        <f>IF(energia[[#This Row],[Magazyn]]&lt;0,TRUE,FALSE)</f>
        <v>0</v>
      </c>
    </row>
    <row r="282" spans="1:10" x14ac:dyDescent="0.3">
      <c r="A282" s="1">
        <v>45394</v>
      </c>
      <c r="B282">
        <v>17</v>
      </c>
      <c r="C282">
        <v>2506.4250000000002</v>
      </c>
      <c r="D282">
        <v>4660.6379999999999</v>
      </c>
      <c r="E282" t="b">
        <f>IF(energia[[#This Row],[Zrodla_wiatrowe]]&gt;C281,TRUE,FALSE)</f>
        <v>0</v>
      </c>
      <c r="F282">
        <f>IF(energia[[#This Row],[Czy wiatr rosło]],F281+1,1)</f>
        <v>1</v>
      </c>
      <c r="G282">
        <v>7775.1409999999996</v>
      </c>
      <c r="H282" s="6">
        <f>(energia[[#This Row],[Zrodla_wiatrowe]]+energia[[#This Row],[Zrodla_fotowoltaiczne]])</f>
        <v>7167.0630000000001</v>
      </c>
      <c r="I282" s="6">
        <f>I281+energia[[#This Row],[Łączna produkcja]]-energia[[#This Row],[Zapotrzebowanie]]</f>
        <v>300074.61400000035</v>
      </c>
      <c r="J282" t="b">
        <f>IF(energia[[#This Row],[Magazyn]]&lt;0,TRUE,FALSE)</f>
        <v>0</v>
      </c>
    </row>
    <row r="283" spans="1:10" x14ac:dyDescent="0.3">
      <c r="A283" s="1">
        <v>45394</v>
      </c>
      <c r="B283">
        <v>18</v>
      </c>
      <c r="C283">
        <v>2113.7629999999999</v>
      </c>
      <c r="D283">
        <v>2813.1880000000001</v>
      </c>
      <c r="E283" t="b">
        <f>IF(energia[[#This Row],[Zrodla_wiatrowe]]&gt;C282,TRUE,FALSE)</f>
        <v>0</v>
      </c>
      <c r="F283">
        <f>IF(energia[[#This Row],[Czy wiatr rosło]],F282+1,1)</f>
        <v>1</v>
      </c>
      <c r="G283">
        <v>7138.9210000000003</v>
      </c>
      <c r="H283" s="6">
        <f>(energia[[#This Row],[Zrodla_wiatrowe]]+energia[[#This Row],[Zrodla_fotowoltaiczne]])</f>
        <v>4926.951</v>
      </c>
      <c r="I283" s="6">
        <f>I282+energia[[#This Row],[Łączna produkcja]]-energia[[#This Row],[Zapotrzebowanie]]</f>
        <v>297862.64400000038</v>
      </c>
      <c r="J283" t="b">
        <f>IF(energia[[#This Row],[Magazyn]]&lt;0,TRUE,FALSE)</f>
        <v>0</v>
      </c>
    </row>
    <row r="284" spans="1:10" x14ac:dyDescent="0.3">
      <c r="A284" s="1">
        <v>45394</v>
      </c>
      <c r="B284">
        <v>19</v>
      </c>
      <c r="C284">
        <v>1639.45</v>
      </c>
      <c r="D284">
        <v>1075.4880000000001</v>
      </c>
      <c r="E284" t="b">
        <f>IF(energia[[#This Row],[Zrodla_wiatrowe]]&gt;C283,TRUE,FALSE)</f>
        <v>0</v>
      </c>
      <c r="F284">
        <f>IF(energia[[#This Row],[Czy wiatr rosło]],F283+1,1)</f>
        <v>1</v>
      </c>
      <c r="G284">
        <v>6379.6149999999998</v>
      </c>
      <c r="H284" s="6">
        <f>(energia[[#This Row],[Zrodla_wiatrowe]]+energia[[#This Row],[Zrodla_fotowoltaiczne]])</f>
        <v>2714.9380000000001</v>
      </c>
      <c r="I284" s="6">
        <f>I283+energia[[#This Row],[Łączna produkcja]]-energia[[#This Row],[Zapotrzebowanie]]</f>
        <v>294197.96700000041</v>
      </c>
      <c r="J284" t="b">
        <f>IF(energia[[#This Row],[Magazyn]]&lt;0,TRUE,FALSE)</f>
        <v>0</v>
      </c>
    </row>
    <row r="285" spans="1:10" x14ac:dyDescent="0.3">
      <c r="A285" s="1">
        <v>45394</v>
      </c>
      <c r="B285">
        <v>20</v>
      </c>
      <c r="C285">
        <v>1887.0630000000001</v>
      </c>
      <c r="D285">
        <v>273.91300000000001</v>
      </c>
      <c r="E285" t="b">
        <f>IF(energia[[#This Row],[Zrodla_wiatrowe]]&gt;C284,TRUE,FALSE)</f>
        <v>1</v>
      </c>
      <c r="F285">
        <f>IF(energia[[#This Row],[Czy wiatr rosło]],F284+1,1)</f>
        <v>2</v>
      </c>
      <c r="G285">
        <v>6206.9</v>
      </c>
      <c r="H285" s="6">
        <f>(energia[[#This Row],[Zrodla_wiatrowe]]+energia[[#This Row],[Zrodla_fotowoltaiczne]])</f>
        <v>2160.9760000000001</v>
      </c>
      <c r="I285" s="6">
        <f>I284+energia[[#This Row],[Łączna produkcja]]-energia[[#This Row],[Zapotrzebowanie]]</f>
        <v>290152.04300000041</v>
      </c>
      <c r="J285" t="b">
        <f>IF(energia[[#This Row],[Magazyn]]&lt;0,TRUE,FALSE)</f>
        <v>0</v>
      </c>
    </row>
    <row r="286" spans="1:10" x14ac:dyDescent="0.3">
      <c r="A286" s="1">
        <v>45394</v>
      </c>
      <c r="B286">
        <v>21</v>
      </c>
      <c r="C286">
        <v>2483.0129999999999</v>
      </c>
      <c r="D286">
        <v>0</v>
      </c>
      <c r="E286" t="b">
        <f>IF(energia[[#This Row],[Zrodla_wiatrowe]]&gt;C285,TRUE,FALSE)</f>
        <v>1</v>
      </c>
      <c r="F286">
        <f>IF(energia[[#This Row],[Czy wiatr rosło]],F285+1,1)</f>
        <v>3</v>
      </c>
      <c r="G286">
        <v>4822.8869999999997</v>
      </c>
      <c r="H286" s="6">
        <f>(energia[[#This Row],[Zrodla_wiatrowe]]+energia[[#This Row],[Zrodla_fotowoltaiczne]])</f>
        <v>2483.0129999999999</v>
      </c>
      <c r="I286" s="6">
        <f>I285+energia[[#This Row],[Łączna produkcja]]-energia[[#This Row],[Zapotrzebowanie]]</f>
        <v>287812.1690000004</v>
      </c>
      <c r="J286" t="b">
        <f>IF(energia[[#This Row],[Magazyn]]&lt;0,TRUE,FALSE)</f>
        <v>0</v>
      </c>
    </row>
    <row r="287" spans="1:10" x14ac:dyDescent="0.3">
      <c r="A287" s="1">
        <v>45394</v>
      </c>
      <c r="B287">
        <v>22</v>
      </c>
      <c r="C287">
        <v>3017.25</v>
      </c>
      <c r="D287">
        <v>0</v>
      </c>
      <c r="E287" t="b">
        <f>IF(energia[[#This Row],[Zrodla_wiatrowe]]&gt;C286,TRUE,FALSE)</f>
        <v>1</v>
      </c>
      <c r="F287">
        <f>IF(energia[[#This Row],[Czy wiatr rosło]],F286+1,1)</f>
        <v>4</v>
      </c>
      <c r="G287">
        <v>4655.1890000000003</v>
      </c>
      <c r="H287" s="6">
        <f>(energia[[#This Row],[Zrodla_wiatrowe]]+energia[[#This Row],[Zrodla_fotowoltaiczne]])</f>
        <v>3017.25</v>
      </c>
      <c r="I287" s="6">
        <f>I286+energia[[#This Row],[Łączna produkcja]]-energia[[#This Row],[Zapotrzebowanie]]</f>
        <v>286174.23000000039</v>
      </c>
      <c r="J287" t="b">
        <f>IF(energia[[#This Row],[Magazyn]]&lt;0,TRUE,FALSE)</f>
        <v>0</v>
      </c>
    </row>
    <row r="288" spans="1:10" x14ac:dyDescent="0.3">
      <c r="A288" s="1">
        <v>45394</v>
      </c>
      <c r="B288">
        <v>23</v>
      </c>
      <c r="C288">
        <v>3583.2130000000002</v>
      </c>
      <c r="D288">
        <v>0</v>
      </c>
      <c r="E288" t="b">
        <f>IF(energia[[#This Row],[Zrodla_wiatrowe]]&gt;C287,TRUE,FALSE)</f>
        <v>1</v>
      </c>
      <c r="F288">
        <f>IF(energia[[#This Row],[Czy wiatr rosło]],F287+1,1)</f>
        <v>5</v>
      </c>
      <c r="G288">
        <v>2883.951</v>
      </c>
      <c r="H288" s="6">
        <f>(energia[[#This Row],[Zrodla_wiatrowe]]+energia[[#This Row],[Zrodla_fotowoltaiczne]])</f>
        <v>3583.2130000000002</v>
      </c>
      <c r="I288" s="6">
        <f>I287+energia[[#This Row],[Łączna produkcja]]-energia[[#This Row],[Zapotrzebowanie]]</f>
        <v>286873.49200000038</v>
      </c>
      <c r="J288" t="b">
        <f>IF(energia[[#This Row],[Magazyn]]&lt;0,TRUE,FALSE)</f>
        <v>0</v>
      </c>
    </row>
    <row r="289" spans="1:10" x14ac:dyDescent="0.3">
      <c r="A289" s="1">
        <v>45394</v>
      </c>
      <c r="B289">
        <v>24</v>
      </c>
      <c r="C289">
        <v>4276.1000000000004</v>
      </c>
      <c r="D289">
        <v>0</v>
      </c>
      <c r="E289" t="b">
        <f>IF(energia[[#This Row],[Zrodla_wiatrowe]]&gt;C288,TRUE,FALSE)</f>
        <v>1</v>
      </c>
      <c r="F289">
        <f>IF(energia[[#This Row],[Czy wiatr rosło]],F288+1,1)</f>
        <v>6</v>
      </c>
      <c r="G289">
        <v>1693.2539999999999</v>
      </c>
      <c r="H289" s="6">
        <f>(energia[[#This Row],[Zrodla_wiatrowe]]+energia[[#This Row],[Zrodla_fotowoltaiczne]])</f>
        <v>4276.1000000000004</v>
      </c>
      <c r="I289" s="6">
        <f>I288+energia[[#This Row],[Łączna produkcja]]-energia[[#This Row],[Zapotrzebowanie]]</f>
        <v>289456.33800000034</v>
      </c>
      <c r="J289" t="b">
        <f>IF(energia[[#This Row],[Magazyn]]&lt;0,TRUE,FALSE)</f>
        <v>0</v>
      </c>
    </row>
    <row r="290" spans="1:10" x14ac:dyDescent="0.3">
      <c r="A290" s="1">
        <v>45395</v>
      </c>
      <c r="B290">
        <v>1</v>
      </c>
      <c r="C290">
        <v>4388.3130000000001</v>
      </c>
      <c r="D290">
        <v>0</v>
      </c>
      <c r="E290" t="b">
        <f>IF(energia[[#This Row],[Zrodla_wiatrowe]]&gt;C289,TRUE,FALSE)</f>
        <v>1</v>
      </c>
      <c r="F290">
        <f>IF(energia[[#This Row],[Czy wiatr rosło]],F289+1,1)</f>
        <v>7</v>
      </c>
      <c r="G290">
        <v>1686.421</v>
      </c>
      <c r="H290" s="6">
        <f>(energia[[#This Row],[Zrodla_wiatrowe]]+energia[[#This Row],[Zrodla_fotowoltaiczne]])</f>
        <v>4388.3130000000001</v>
      </c>
      <c r="I290" s="6">
        <f>I289+energia[[#This Row],[Łączna produkcja]]-energia[[#This Row],[Zapotrzebowanie]]</f>
        <v>292158.23000000039</v>
      </c>
      <c r="J290" t="b">
        <f>IF(energia[[#This Row],[Magazyn]]&lt;0,TRUE,FALSE)</f>
        <v>0</v>
      </c>
    </row>
    <row r="291" spans="1:10" x14ac:dyDescent="0.3">
      <c r="A291" s="1">
        <v>45395</v>
      </c>
      <c r="B291">
        <v>2</v>
      </c>
      <c r="C291">
        <v>4199.5129999999999</v>
      </c>
      <c r="D291">
        <v>0</v>
      </c>
      <c r="E291" t="b">
        <f>IF(energia[[#This Row],[Zrodla_wiatrowe]]&gt;C290,TRUE,FALSE)</f>
        <v>0</v>
      </c>
      <c r="F291">
        <f>IF(energia[[#This Row],[Czy wiatr rosło]],F290+1,1)</f>
        <v>1</v>
      </c>
      <c r="G291">
        <v>1474.67</v>
      </c>
      <c r="H291" s="6">
        <f>(energia[[#This Row],[Zrodla_wiatrowe]]+energia[[#This Row],[Zrodla_fotowoltaiczne]])</f>
        <v>4199.5129999999999</v>
      </c>
      <c r="I291" s="6">
        <f>I290+energia[[#This Row],[Łączna produkcja]]-energia[[#This Row],[Zapotrzebowanie]]</f>
        <v>294883.07300000038</v>
      </c>
      <c r="J291" t="b">
        <f>IF(energia[[#This Row],[Magazyn]]&lt;0,TRUE,FALSE)</f>
        <v>0</v>
      </c>
    </row>
    <row r="292" spans="1:10" x14ac:dyDescent="0.3">
      <c r="A292" s="1">
        <v>45395</v>
      </c>
      <c r="B292">
        <v>3</v>
      </c>
      <c r="C292">
        <v>4164.5379999999996</v>
      </c>
      <c r="D292">
        <v>0</v>
      </c>
      <c r="E292" t="b">
        <f>IF(energia[[#This Row],[Zrodla_wiatrowe]]&gt;C291,TRUE,FALSE)</f>
        <v>0</v>
      </c>
      <c r="F292">
        <f>IF(energia[[#This Row],[Czy wiatr rosło]],F291+1,1)</f>
        <v>1</v>
      </c>
      <c r="G292">
        <v>1379.2380000000001</v>
      </c>
      <c r="H292" s="6">
        <f>(energia[[#This Row],[Zrodla_wiatrowe]]+energia[[#This Row],[Zrodla_fotowoltaiczne]])</f>
        <v>4164.5379999999996</v>
      </c>
      <c r="I292" s="6">
        <f>I291+energia[[#This Row],[Łączna produkcja]]-energia[[#This Row],[Zapotrzebowanie]]</f>
        <v>297668.37300000037</v>
      </c>
      <c r="J292" t="b">
        <f>IF(energia[[#This Row],[Magazyn]]&lt;0,TRUE,FALSE)</f>
        <v>0</v>
      </c>
    </row>
    <row r="293" spans="1:10" x14ac:dyDescent="0.3">
      <c r="A293" s="1">
        <v>45395</v>
      </c>
      <c r="B293">
        <v>4</v>
      </c>
      <c r="C293">
        <v>3954.7750000000001</v>
      </c>
      <c r="D293">
        <v>0</v>
      </c>
      <c r="E293" t="b">
        <f>IF(energia[[#This Row],[Zrodla_wiatrowe]]&gt;C292,TRUE,FALSE)</f>
        <v>0</v>
      </c>
      <c r="F293">
        <f>IF(energia[[#This Row],[Czy wiatr rosło]],F292+1,1)</f>
        <v>1</v>
      </c>
      <c r="G293">
        <v>1218.73</v>
      </c>
      <c r="H293" s="6">
        <f>(energia[[#This Row],[Zrodla_wiatrowe]]+energia[[#This Row],[Zrodla_fotowoltaiczne]])</f>
        <v>3954.7750000000001</v>
      </c>
      <c r="I293" s="6">
        <f>I292+energia[[#This Row],[Łączna produkcja]]-energia[[#This Row],[Zapotrzebowanie]]</f>
        <v>300404.41800000041</v>
      </c>
      <c r="J293" t="b">
        <f>IF(energia[[#This Row],[Magazyn]]&lt;0,TRUE,FALSE)</f>
        <v>0</v>
      </c>
    </row>
    <row r="294" spans="1:10" x14ac:dyDescent="0.3">
      <c r="A294" s="1">
        <v>45395</v>
      </c>
      <c r="B294">
        <v>5</v>
      </c>
      <c r="C294">
        <v>3833.3249999999998</v>
      </c>
      <c r="D294">
        <v>0</v>
      </c>
      <c r="E294" t="b">
        <f>IF(energia[[#This Row],[Zrodla_wiatrowe]]&gt;C293,TRUE,FALSE)</f>
        <v>0</v>
      </c>
      <c r="F294">
        <f>IF(energia[[#This Row],[Czy wiatr rosło]],F293+1,1)</f>
        <v>1</v>
      </c>
      <c r="G294">
        <v>1827.046</v>
      </c>
      <c r="H294" s="6">
        <f>(energia[[#This Row],[Zrodla_wiatrowe]]+energia[[#This Row],[Zrodla_fotowoltaiczne]])</f>
        <v>3833.3249999999998</v>
      </c>
      <c r="I294" s="6">
        <f>I293+energia[[#This Row],[Łączna produkcja]]-energia[[#This Row],[Zapotrzebowanie]]</f>
        <v>302410.69700000045</v>
      </c>
      <c r="J294" t="b">
        <f>IF(energia[[#This Row],[Magazyn]]&lt;0,TRUE,FALSE)</f>
        <v>0</v>
      </c>
    </row>
    <row r="295" spans="1:10" x14ac:dyDescent="0.3">
      <c r="A295" s="1">
        <v>45395</v>
      </c>
      <c r="B295">
        <v>6</v>
      </c>
      <c r="C295">
        <v>3715.1750000000002</v>
      </c>
      <c r="D295">
        <v>45.475000000000001</v>
      </c>
      <c r="E295" t="b">
        <f>IF(energia[[#This Row],[Zrodla_wiatrowe]]&gt;C294,TRUE,FALSE)</f>
        <v>0</v>
      </c>
      <c r="F295">
        <f>IF(energia[[#This Row],[Czy wiatr rosło]],F294+1,1)</f>
        <v>1</v>
      </c>
      <c r="G295">
        <v>3025.6489999999999</v>
      </c>
      <c r="H295" s="6">
        <f>(energia[[#This Row],[Zrodla_wiatrowe]]+energia[[#This Row],[Zrodla_fotowoltaiczne]])</f>
        <v>3760.65</v>
      </c>
      <c r="I295" s="6">
        <f>I294+energia[[#This Row],[Łączna produkcja]]-energia[[#This Row],[Zapotrzebowanie]]</f>
        <v>303145.6980000005</v>
      </c>
      <c r="J295" t="b">
        <f>IF(energia[[#This Row],[Magazyn]]&lt;0,TRUE,FALSE)</f>
        <v>0</v>
      </c>
    </row>
    <row r="296" spans="1:10" x14ac:dyDescent="0.3">
      <c r="A296" s="1">
        <v>45395</v>
      </c>
      <c r="B296">
        <v>7</v>
      </c>
      <c r="C296">
        <v>3703.163</v>
      </c>
      <c r="D296">
        <v>473.51299999999998</v>
      </c>
      <c r="E296" t="b">
        <f>IF(energia[[#This Row],[Zrodla_wiatrowe]]&gt;C295,TRUE,FALSE)</f>
        <v>0</v>
      </c>
      <c r="F296">
        <f>IF(energia[[#This Row],[Czy wiatr rosło]],F295+1,1)</f>
        <v>1</v>
      </c>
      <c r="G296">
        <v>4121.6450000000004</v>
      </c>
      <c r="H296" s="6">
        <f>(energia[[#This Row],[Zrodla_wiatrowe]]+energia[[#This Row],[Zrodla_fotowoltaiczne]])</f>
        <v>4176.6760000000004</v>
      </c>
      <c r="I296" s="6">
        <f>I295+energia[[#This Row],[Łączna produkcja]]-energia[[#This Row],[Zapotrzebowanie]]</f>
        <v>303200.72900000046</v>
      </c>
      <c r="J296" t="b">
        <f>IF(energia[[#This Row],[Magazyn]]&lt;0,TRUE,FALSE)</f>
        <v>0</v>
      </c>
    </row>
    <row r="297" spans="1:10" x14ac:dyDescent="0.3">
      <c r="A297" s="1">
        <v>45395</v>
      </c>
      <c r="B297">
        <v>8</v>
      </c>
      <c r="C297">
        <v>3279.1</v>
      </c>
      <c r="D297">
        <v>1814.3</v>
      </c>
      <c r="E297" t="b">
        <f>IF(energia[[#This Row],[Zrodla_wiatrowe]]&gt;C296,TRUE,FALSE)</f>
        <v>0</v>
      </c>
      <c r="F297">
        <f>IF(energia[[#This Row],[Czy wiatr rosło]],F296+1,1)</f>
        <v>1</v>
      </c>
      <c r="G297">
        <v>6913.5879999999997</v>
      </c>
      <c r="H297" s="6">
        <f>(energia[[#This Row],[Zrodla_wiatrowe]]+energia[[#This Row],[Zrodla_fotowoltaiczne]])</f>
        <v>5093.3999999999996</v>
      </c>
      <c r="I297" s="6">
        <f>I296+energia[[#This Row],[Łączna produkcja]]-energia[[#This Row],[Zapotrzebowanie]]</f>
        <v>301380.54100000049</v>
      </c>
      <c r="J297" t="b">
        <f>IF(energia[[#This Row],[Magazyn]]&lt;0,TRUE,FALSE)</f>
        <v>0</v>
      </c>
    </row>
    <row r="298" spans="1:10" x14ac:dyDescent="0.3">
      <c r="A298" s="1">
        <v>45395</v>
      </c>
      <c r="B298">
        <v>9</v>
      </c>
      <c r="C298">
        <v>3139.8</v>
      </c>
      <c r="D298">
        <v>3936.6750000000002</v>
      </c>
      <c r="E298" t="b">
        <f>IF(energia[[#This Row],[Zrodla_wiatrowe]]&gt;C297,TRUE,FALSE)</f>
        <v>0</v>
      </c>
      <c r="F298">
        <f>IF(energia[[#This Row],[Czy wiatr rosło]],F297+1,1)</f>
        <v>1</v>
      </c>
      <c r="G298">
        <v>7743.2139999999999</v>
      </c>
      <c r="H298" s="6">
        <f>(energia[[#This Row],[Zrodla_wiatrowe]]+energia[[#This Row],[Zrodla_fotowoltaiczne]])</f>
        <v>7076.4750000000004</v>
      </c>
      <c r="I298" s="6">
        <f>I297+energia[[#This Row],[Łączna produkcja]]-energia[[#This Row],[Zapotrzebowanie]]</f>
        <v>300713.80200000049</v>
      </c>
      <c r="J298" t="b">
        <f>IF(energia[[#This Row],[Magazyn]]&lt;0,TRUE,FALSE)</f>
        <v>0</v>
      </c>
    </row>
    <row r="299" spans="1:10" x14ac:dyDescent="0.3">
      <c r="A299" s="1">
        <v>45395</v>
      </c>
      <c r="B299">
        <v>10</v>
      </c>
      <c r="C299">
        <v>3365.2249999999999</v>
      </c>
      <c r="D299">
        <v>5956.6130000000003</v>
      </c>
      <c r="E299" t="b">
        <f>IF(energia[[#This Row],[Zrodla_wiatrowe]]&gt;C298,TRUE,FALSE)</f>
        <v>1</v>
      </c>
      <c r="F299">
        <f>IF(energia[[#This Row],[Czy wiatr rosło]],F298+1,1)</f>
        <v>2</v>
      </c>
      <c r="G299">
        <v>8642.35</v>
      </c>
      <c r="H299" s="6">
        <f>(energia[[#This Row],[Zrodla_wiatrowe]]+energia[[#This Row],[Zrodla_fotowoltaiczne]])</f>
        <v>9321.8379999999997</v>
      </c>
      <c r="I299" s="6">
        <f>I298+energia[[#This Row],[Łączna produkcja]]-energia[[#This Row],[Zapotrzebowanie]]</f>
        <v>301393.2900000005</v>
      </c>
      <c r="J299" t="b">
        <f>IF(energia[[#This Row],[Magazyn]]&lt;0,TRUE,FALSE)</f>
        <v>0</v>
      </c>
    </row>
    <row r="300" spans="1:10" x14ac:dyDescent="0.3">
      <c r="A300" s="1">
        <v>45395</v>
      </c>
      <c r="B300">
        <v>11</v>
      </c>
      <c r="C300">
        <v>3626.2379999999998</v>
      </c>
      <c r="D300">
        <v>7713.0379999999996</v>
      </c>
      <c r="E300" t="b">
        <f>IF(energia[[#This Row],[Zrodla_wiatrowe]]&gt;C299,TRUE,FALSE)</f>
        <v>1</v>
      </c>
      <c r="F300">
        <f>IF(energia[[#This Row],[Czy wiatr rosło]],F299+1,1)</f>
        <v>3</v>
      </c>
      <c r="G300">
        <v>8618.0679999999993</v>
      </c>
      <c r="H300" s="6">
        <f>(energia[[#This Row],[Zrodla_wiatrowe]]+energia[[#This Row],[Zrodla_fotowoltaiczne]])</f>
        <v>11339.276</v>
      </c>
      <c r="I300" s="6">
        <f>I299+energia[[#This Row],[Łączna produkcja]]-energia[[#This Row],[Zapotrzebowanie]]</f>
        <v>304114.49800000049</v>
      </c>
      <c r="J300" t="b">
        <f>IF(energia[[#This Row],[Magazyn]]&lt;0,TRUE,FALSE)</f>
        <v>0</v>
      </c>
    </row>
    <row r="301" spans="1:10" x14ac:dyDescent="0.3">
      <c r="A301" s="1">
        <v>45395</v>
      </c>
      <c r="B301">
        <v>12</v>
      </c>
      <c r="C301">
        <v>3878.9630000000002</v>
      </c>
      <c r="D301">
        <v>8376.7630000000008</v>
      </c>
      <c r="E301" t="b">
        <f>IF(energia[[#This Row],[Zrodla_wiatrowe]]&gt;C300,TRUE,FALSE)</f>
        <v>1</v>
      </c>
      <c r="F301">
        <f>IF(energia[[#This Row],[Czy wiatr rosło]],F300+1,1)</f>
        <v>4</v>
      </c>
      <c r="G301">
        <v>8761.2849999999999</v>
      </c>
      <c r="H301" s="6">
        <f>(energia[[#This Row],[Zrodla_wiatrowe]]+energia[[#This Row],[Zrodla_fotowoltaiczne]])</f>
        <v>12255.726000000001</v>
      </c>
      <c r="I301" s="6">
        <f>I300+energia[[#This Row],[Łączna produkcja]]-energia[[#This Row],[Zapotrzebowanie]]</f>
        <v>307608.93900000054</v>
      </c>
      <c r="J301" t="b">
        <f>IF(energia[[#This Row],[Magazyn]]&lt;0,TRUE,FALSE)</f>
        <v>0</v>
      </c>
    </row>
    <row r="302" spans="1:10" x14ac:dyDescent="0.3">
      <c r="A302" s="1">
        <v>45395</v>
      </c>
      <c r="B302">
        <v>13</v>
      </c>
      <c r="C302">
        <v>4186.2879999999996</v>
      </c>
      <c r="D302">
        <v>8718.6</v>
      </c>
      <c r="E302" t="b">
        <f>IF(energia[[#This Row],[Zrodla_wiatrowe]]&gt;C301,TRUE,FALSE)</f>
        <v>1</v>
      </c>
      <c r="F302">
        <f>IF(energia[[#This Row],[Czy wiatr rosło]],F301+1,1)</f>
        <v>5</v>
      </c>
      <c r="G302">
        <v>9127.4519999999993</v>
      </c>
      <c r="H302" s="6">
        <f>(energia[[#This Row],[Zrodla_wiatrowe]]+energia[[#This Row],[Zrodla_fotowoltaiczne]])</f>
        <v>12904.887999999999</v>
      </c>
      <c r="I302" s="6">
        <f>I301+energia[[#This Row],[Łączna produkcja]]-energia[[#This Row],[Zapotrzebowanie]]</f>
        <v>311386.37500000052</v>
      </c>
      <c r="J302" t="b">
        <f>IF(energia[[#This Row],[Magazyn]]&lt;0,TRUE,FALSE)</f>
        <v>0</v>
      </c>
    </row>
    <row r="303" spans="1:10" x14ac:dyDescent="0.3">
      <c r="A303" s="1">
        <v>45395</v>
      </c>
      <c r="B303">
        <v>14</v>
      </c>
      <c r="C303">
        <v>4575.2629999999999</v>
      </c>
      <c r="D303">
        <v>9145.2880000000005</v>
      </c>
      <c r="E303" t="b">
        <f>IF(energia[[#This Row],[Zrodla_wiatrowe]]&gt;C302,TRUE,FALSE)</f>
        <v>1</v>
      </c>
      <c r="F303">
        <f>IF(energia[[#This Row],[Czy wiatr rosło]],F302+1,1)</f>
        <v>6</v>
      </c>
      <c r="G303">
        <v>7212.0150000000003</v>
      </c>
      <c r="H303" s="6">
        <f>(energia[[#This Row],[Zrodla_wiatrowe]]+energia[[#This Row],[Zrodla_fotowoltaiczne]])</f>
        <v>13720.550999999999</v>
      </c>
      <c r="I303" s="6">
        <f>I302+energia[[#This Row],[Łączna produkcja]]-energia[[#This Row],[Zapotrzebowanie]]</f>
        <v>317894.91100000049</v>
      </c>
      <c r="J303" t="b">
        <f>IF(energia[[#This Row],[Magazyn]]&lt;0,TRUE,FALSE)</f>
        <v>0</v>
      </c>
    </row>
    <row r="304" spans="1:10" x14ac:dyDescent="0.3">
      <c r="A304" s="1">
        <v>45395</v>
      </c>
      <c r="B304">
        <v>15</v>
      </c>
      <c r="C304">
        <v>4728.1379999999999</v>
      </c>
      <c r="D304">
        <v>8144.0749999999998</v>
      </c>
      <c r="E304" t="b">
        <f>IF(energia[[#This Row],[Zrodla_wiatrowe]]&gt;C303,TRUE,FALSE)</f>
        <v>1</v>
      </c>
      <c r="F304">
        <f>IF(energia[[#This Row],[Czy wiatr rosło]],F303+1,1)</f>
        <v>7</v>
      </c>
      <c r="G304">
        <v>7434.875</v>
      </c>
      <c r="H304" s="6">
        <f>(energia[[#This Row],[Zrodla_wiatrowe]]+energia[[#This Row],[Zrodla_fotowoltaiczne]])</f>
        <v>12872.213</v>
      </c>
      <c r="I304" s="6">
        <f>I303+energia[[#This Row],[Łączna produkcja]]-energia[[#This Row],[Zapotrzebowanie]]</f>
        <v>323332.24900000048</v>
      </c>
      <c r="J304" t="b">
        <f>IF(energia[[#This Row],[Magazyn]]&lt;0,TRUE,FALSE)</f>
        <v>0</v>
      </c>
    </row>
    <row r="305" spans="1:10" x14ac:dyDescent="0.3">
      <c r="A305" s="1">
        <v>45395</v>
      </c>
      <c r="B305">
        <v>16</v>
      </c>
      <c r="C305">
        <v>4374.7879999999996</v>
      </c>
      <c r="D305">
        <v>6291.4750000000004</v>
      </c>
      <c r="E305" t="b">
        <f>IF(energia[[#This Row],[Zrodla_wiatrowe]]&gt;C304,TRUE,FALSE)</f>
        <v>0</v>
      </c>
      <c r="F305">
        <f>IF(energia[[#This Row],[Czy wiatr rosło]],F304+1,1)</f>
        <v>1</v>
      </c>
      <c r="G305">
        <v>7487.8339999999998</v>
      </c>
      <c r="H305" s="6">
        <f>(energia[[#This Row],[Zrodla_wiatrowe]]+energia[[#This Row],[Zrodla_fotowoltaiczne]])</f>
        <v>10666.262999999999</v>
      </c>
      <c r="I305" s="6">
        <f>I304+energia[[#This Row],[Łączna produkcja]]-energia[[#This Row],[Zapotrzebowanie]]</f>
        <v>326510.67800000048</v>
      </c>
      <c r="J305" t="b">
        <f>IF(energia[[#This Row],[Magazyn]]&lt;0,TRUE,FALSE)</f>
        <v>0</v>
      </c>
    </row>
    <row r="306" spans="1:10" x14ac:dyDescent="0.3">
      <c r="A306" s="1">
        <v>45395</v>
      </c>
      <c r="B306">
        <v>17</v>
      </c>
      <c r="C306">
        <v>3919.3249999999998</v>
      </c>
      <c r="D306">
        <v>4863.9380000000001</v>
      </c>
      <c r="E306" t="b">
        <f>IF(energia[[#This Row],[Zrodla_wiatrowe]]&gt;C305,TRUE,FALSE)</f>
        <v>0</v>
      </c>
      <c r="F306">
        <f>IF(energia[[#This Row],[Czy wiatr rosło]],F305+1,1)</f>
        <v>1</v>
      </c>
      <c r="G306">
        <v>7225.3829999999998</v>
      </c>
      <c r="H306" s="6">
        <f>(energia[[#This Row],[Zrodla_wiatrowe]]+energia[[#This Row],[Zrodla_fotowoltaiczne]])</f>
        <v>8783.262999999999</v>
      </c>
      <c r="I306" s="6">
        <f>I305+energia[[#This Row],[Łączna produkcja]]-energia[[#This Row],[Zapotrzebowanie]]</f>
        <v>328068.55800000048</v>
      </c>
      <c r="J306" t="b">
        <f>IF(energia[[#This Row],[Magazyn]]&lt;0,TRUE,FALSE)</f>
        <v>0</v>
      </c>
    </row>
    <row r="307" spans="1:10" x14ac:dyDescent="0.3">
      <c r="A307" s="1">
        <v>45395</v>
      </c>
      <c r="B307">
        <v>18</v>
      </c>
      <c r="C307">
        <v>3067.6880000000001</v>
      </c>
      <c r="D307">
        <v>3051.0880000000002</v>
      </c>
      <c r="E307" t="b">
        <f>IF(energia[[#This Row],[Zrodla_wiatrowe]]&gt;C306,TRUE,FALSE)</f>
        <v>0</v>
      </c>
      <c r="F307">
        <f>IF(energia[[#This Row],[Czy wiatr rosło]],F306+1,1)</f>
        <v>1</v>
      </c>
      <c r="G307">
        <v>6634.1490000000003</v>
      </c>
      <c r="H307" s="6">
        <f>(energia[[#This Row],[Zrodla_wiatrowe]]+energia[[#This Row],[Zrodla_fotowoltaiczne]])</f>
        <v>6118.7759999999998</v>
      </c>
      <c r="I307" s="6">
        <f>I306+energia[[#This Row],[Łączna produkcja]]-energia[[#This Row],[Zapotrzebowanie]]</f>
        <v>327553.18500000052</v>
      </c>
      <c r="J307" t="b">
        <f>IF(energia[[#This Row],[Magazyn]]&lt;0,TRUE,FALSE)</f>
        <v>0</v>
      </c>
    </row>
    <row r="308" spans="1:10" x14ac:dyDescent="0.3">
      <c r="A308" s="1">
        <v>45395</v>
      </c>
      <c r="B308">
        <v>19</v>
      </c>
      <c r="C308">
        <v>1823</v>
      </c>
      <c r="D308">
        <v>1224.5250000000001</v>
      </c>
      <c r="E308" t="b">
        <f>IF(energia[[#This Row],[Zrodla_wiatrowe]]&gt;C307,TRUE,FALSE)</f>
        <v>0</v>
      </c>
      <c r="F308">
        <f>IF(energia[[#This Row],[Czy wiatr rosło]],F307+1,1)</f>
        <v>1</v>
      </c>
      <c r="G308">
        <v>7088.4610000000002</v>
      </c>
      <c r="H308" s="6">
        <f>(energia[[#This Row],[Zrodla_wiatrowe]]+energia[[#This Row],[Zrodla_fotowoltaiczne]])</f>
        <v>3047.5250000000001</v>
      </c>
      <c r="I308" s="6">
        <f>I307+energia[[#This Row],[Łączna produkcja]]-energia[[#This Row],[Zapotrzebowanie]]</f>
        <v>323512.24900000053</v>
      </c>
      <c r="J308" t="b">
        <f>IF(energia[[#This Row],[Magazyn]]&lt;0,TRUE,FALSE)</f>
        <v>0</v>
      </c>
    </row>
    <row r="309" spans="1:10" x14ac:dyDescent="0.3">
      <c r="A309" s="1">
        <v>45395</v>
      </c>
      <c r="B309">
        <v>20</v>
      </c>
      <c r="C309">
        <v>1388.1880000000001</v>
      </c>
      <c r="D309">
        <v>241.863</v>
      </c>
      <c r="E309" t="b">
        <f>IF(energia[[#This Row],[Zrodla_wiatrowe]]&gt;C308,TRUE,FALSE)</f>
        <v>0</v>
      </c>
      <c r="F309">
        <f>IF(energia[[#This Row],[Czy wiatr rosło]],F308+1,1)</f>
        <v>1</v>
      </c>
      <c r="G309">
        <v>6896.5559999999996</v>
      </c>
      <c r="H309" s="6">
        <f>(energia[[#This Row],[Zrodla_wiatrowe]]+energia[[#This Row],[Zrodla_fotowoltaiczne]])</f>
        <v>1630.0510000000002</v>
      </c>
      <c r="I309" s="6">
        <f>I308+energia[[#This Row],[Łączna produkcja]]-energia[[#This Row],[Zapotrzebowanie]]</f>
        <v>318245.74400000053</v>
      </c>
      <c r="J309" t="b">
        <f>IF(energia[[#This Row],[Magazyn]]&lt;0,TRUE,FALSE)</f>
        <v>0</v>
      </c>
    </row>
    <row r="310" spans="1:10" x14ac:dyDescent="0.3">
      <c r="A310" s="1">
        <v>45395</v>
      </c>
      <c r="B310">
        <v>21</v>
      </c>
      <c r="C310">
        <v>1684.8</v>
      </c>
      <c r="D310">
        <v>0</v>
      </c>
      <c r="E310" t="b">
        <f>IF(energia[[#This Row],[Zrodla_wiatrowe]]&gt;C309,TRUE,FALSE)</f>
        <v>1</v>
      </c>
      <c r="F310">
        <f>IF(energia[[#This Row],[Czy wiatr rosło]],F309+1,1)</f>
        <v>2</v>
      </c>
      <c r="G310">
        <v>5358.7640000000001</v>
      </c>
      <c r="H310" s="6">
        <f>(energia[[#This Row],[Zrodla_wiatrowe]]+energia[[#This Row],[Zrodla_fotowoltaiczne]])</f>
        <v>1684.8</v>
      </c>
      <c r="I310" s="6">
        <f>I309+energia[[#This Row],[Łączna produkcja]]-energia[[#This Row],[Zapotrzebowanie]]</f>
        <v>314571.78000000049</v>
      </c>
      <c r="J310" t="b">
        <f>IF(energia[[#This Row],[Magazyn]]&lt;0,TRUE,FALSE)</f>
        <v>0</v>
      </c>
    </row>
    <row r="311" spans="1:10" x14ac:dyDescent="0.3">
      <c r="A311" s="1">
        <v>45395</v>
      </c>
      <c r="B311">
        <v>22</v>
      </c>
      <c r="C311">
        <v>2293.1379999999999</v>
      </c>
      <c r="D311">
        <v>0</v>
      </c>
      <c r="E311" t="b">
        <f>IF(energia[[#This Row],[Zrodla_wiatrowe]]&gt;C310,TRUE,FALSE)</f>
        <v>1</v>
      </c>
      <c r="F311">
        <f>IF(energia[[#This Row],[Czy wiatr rosło]],F310+1,1)</f>
        <v>3</v>
      </c>
      <c r="G311">
        <v>5172.4319999999998</v>
      </c>
      <c r="H311" s="6">
        <f>(energia[[#This Row],[Zrodla_wiatrowe]]+energia[[#This Row],[Zrodla_fotowoltaiczne]])</f>
        <v>2293.1379999999999</v>
      </c>
      <c r="I311" s="6">
        <f>I310+energia[[#This Row],[Łączna produkcja]]-energia[[#This Row],[Zapotrzebowanie]]</f>
        <v>311692.4860000005</v>
      </c>
      <c r="J311" t="b">
        <f>IF(energia[[#This Row],[Magazyn]]&lt;0,TRUE,FALSE)</f>
        <v>0</v>
      </c>
    </row>
    <row r="312" spans="1:10" x14ac:dyDescent="0.3">
      <c r="A312" s="1">
        <v>45395</v>
      </c>
      <c r="B312">
        <v>23</v>
      </c>
      <c r="C312">
        <v>3020.6129999999998</v>
      </c>
      <c r="D312">
        <v>0</v>
      </c>
      <c r="E312" t="b">
        <f>IF(energia[[#This Row],[Zrodla_wiatrowe]]&gt;C311,TRUE,FALSE)</f>
        <v>1</v>
      </c>
      <c r="F312">
        <f>IF(energia[[#This Row],[Czy wiatr rosło]],F311+1,1)</f>
        <v>4</v>
      </c>
      <c r="G312">
        <v>3204.39</v>
      </c>
      <c r="H312" s="6">
        <f>(energia[[#This Row],[Zrodla_wiatrowe]]+energia[[#This Row],[Zrodla_fotowoltaiczne]])</f>
        <v>3020.6129999999998</v>
      </c>
      <c r="I312" s="6">
        <f>I311+energia[[#This Row],[Łączna produkcja]]-energia[[#This Row],[Zapotrzebowanie]]</f>
        <v>311508.7090000005</v>
      </c>
      <c r="J312" t="b">
        <f>IF(energia[[#This Row],[Magazyn]]&lt;0,TRUE,FALSE)</f>
        <v>0</v>
      </c>
    </row>
    <row r="313" spans="1:10" x14ac:dyDescent="0.3">
      <c r="A313" s="1">
        <v>45395</v>
      </c>
      <c r="B313">
        <v>24</v>
      </c>
      <c r="C313">
        <v>3427.6</v>
      </c>
      <c r="D313">
        <v>0</v>
      </c>
      <c r="E313" t="b">
        <f>IF(energia[[#This Row],[Zrodla_wiatrowe]]&gt;C312,TRUE,FALSE)</f>
        <v>1</v>
      </c>
      <c r="F313">
        <f>IF(energia[[#This Row],[Czy wiatr rosło]],F312+1,1)</f>
        <v>5</v>
      </c>
      <c r="G313">
        <v>1881.393</v>
      </c>
      <c r="H313" s="6">
        <f>(energia[[#This Row],[Zrodla_wiatrowe]]+energia[[#This Row],[Zrodla_fotowoltaiczne]])</f>
        <v>3427.6</v>
      </c>
      <c r="I313" s="6">
        <f>I312+energia[[#This Row],[Łączna produkcja]]-energia[[#This Row],[Zapotrzebowanie]]</f>
        <v>313054.91600000049</v>
      </c>
      <c r="J313" t="b">
        <f>IF(energia[[#This Row],[Magazyn]]&lt;0,TRUE,FALSE)</f>
        <v>0</v>
      </c>
    </row>
    <row r="314" spans="1:10" x14ac:dyDescent="0.3">
      <c r="A314" s="1">
        <v>45396</v>
      </c>
      <c r="B314">
        <v>1</v>
      </c>
      <c r="C314">
        <v>3845.3629999999998</v>
      </c>
      <c r="D314">
        <v>0</v>
      </c>
      <c r="E314" t="b">
        <f>IF(energia[[#This Row],[Zrodla_wiatrowe]]&gt;C313,TRUE,FALSE)</f>
        <v>1</v>
      </c>
      <c r="F314">
        <f>IF(energia[[#This Row],[Czy wiatr rosło]],F313+1,1)</f>
        <v>6</v>
      </c>
      <c r="G314">
        <v>1707.511</v>
      </c>
      <c r="H314" s="6">
        <f>(energia[[#This Row],[Zrodla_wiatrowe]]+energia[[#This Row],[Zrodla_fotowoltaiczne]])</f>
        <v>3845.3629999999998</v>
      </c>
      <c r="I314" s="6">
        <f>I313+energia[[#This Row],[Łączna produkcja]]-energia[[#This Row],[Zapotrzebowanie]]</f>
        <v>315192.76800000051</v>
      </c>
      <c r="J314" t="b">
        <f>IF(energia[[#This Row],[Magazyn]]&lt;0,TRUE,FALSE)</f>
        <v>0</v>
      </c>
    </row>
    <row r="315" spans="1:10" x14ac:dyDescent="0.3">
      <c r="A315" s="1">
        <v>45396</v>
      </c>
      <c r="B315">
        <v>2</v>
      </c>
      <c r="C315">
        <v>4625.7749999999996</v>
      </c>
      <c r="D315">
        <v>0</v>
      </c>
      <c r="E315" t="b">
        <f>IF(energia[[#This Row],[Zrodla_wiatrowe]]&gt;C314,TRUE,FALSE)</f>
        <v>1</v>
      </c>
      <c r="F315">
        <f>IF(energia[[#This Row],[Czy wiatr rosło]],F314+1,1)</f>
        <v>7</v>
      </c>
      <c r="G315">
        <v>1463.9449999999999</v>
      </c>
      <c r="H315" s="6">
        <f>(energia[[#This Row],[Zrodla_wiatrowe]]+energia[[#This Row],[Zrodla_fotowoltaiczne]])</f>
        <v>4625.7749999999996</v>
      </c>
      <c r="I315" s="6">
        <f>I314+energia[[#This Row],[Łączna produkcja]]-energia[[#This Row],[Zapotrzebowanie]]</f>
        <v>318354.59800000052</v>
      </c>
      <c r="J315" t="b">
        <f>IF(energia[[#This Row],[Magazyn]]&lt;0,TRUE,FALSE)</f>
        <v>0</v>
      </c>
    </row>
    <row r="316" spans="1:10" x14ac:dyDescent="0.3">
      <c r="A316" s="1">
        <v>45396</v>
      </c>
      <c r="B316">
        <v>3</v>
      </c>
      <c r="C316">
        <v>5458.9129999999996</v>
      </c>
      <c r="D316">
        <v>0</v>
      </c>
      <c r="E316" t="b">
        <f>IF(energia[[#This Row],[Zrodla_wiatrowe]]&gt;C315,TRUE,FALSE)</f>
        <v>1</v>
      </c>
      <c r="F316">
        <f>IF(energia[[#This Row],[Czy wiatr rosło]],F315+1,1)</f>
        <v>8</v>
      </c>
      <c r="G316">
        <v>1369.2070000000001</v>
      </c>
      <c r="H316" s="6">
        <f>(energia[[#This Row],[Zrodla_wiatrowe]]+energia[[#This Row],[Zrodla_fotowoltaiczne]])</f>
        <v>5458.9129999999996</v>
      </c>
      <c r="I316" s="6">
        <f>I315+energia[[#This Row],[Łączna produkcja]]-energia[[#This Row],[Zapotrzebowanie]]</f>
        <v>322444.30400000053</v>
      </c>
      <c r="J316" t="b">
        <f>IF(energia[[#This Row],[Magazyn]]&lt;0,TRUE,FALSE)</f>
        <v>0</v>
      </c>
    </row>
    <row r="317" spans="1:10" x14ac:dyDescent="0.3">
      <c r="A317" s="1">
        <v>45396</v>
      </c>
      <c r="B317">
        <v>4</v>
      </c>
      <c r="C317">
        <v>5633.7629999999999</v>
      </c>
      <c r="D317">
        <v>0</v>
      </c>
      <c r="E317" t="b">
        <f>IF(energia[[#This Row],[Zrodla_wiatrowe]]&gt;C316,TRUE,FALSE)</f>
        <v>1</v>
      </c>
      <c r="F317">
        <f>IF(energia[[#This Row],[Czy wiatr rosło]],F316+1,1)</f>
        <v>9</v>
      </c>
      <c r="G317">
        <v>1372.0139999999999</v>
      </c>
      <c r="H317" s="6">
        <f>(energia[[#This Row],[Zrodla_wiatrowe]]+energia[[#This Row],[Zrodla_fotowoltaiczne]])</f>
        <v>5633.7629999999999</v>
      </c>
      <c r="I317" s="6">
        <f>I316+energia[[#This Row],[Łączna produkcja]]-energia[[#This Row],[Zapotrzebowanie]]</f>
        <v>326706.05300000048</v>
      </c>
      <c r="J317" t="b">
        <f>IF(energia[[#This Row],[Magazyn]]&lt;0,TRUE,FALSE)</f>
        <v>0</v>
      </c>
    </row>
    <row r="318" spans="1:10" x14ac:dyDescent="0.3">
      <c r="A318" s="1">
        <v>45396</v>
      </c>
      <c r="B318">
        <v>5</v>
      </c>
      <c r="C318">
        <v>5972.5</v>
      </c>
      <c r="D318">
        <v>0</v>
      </c>
      <c r="E318" t="b">
        <f>IF(energia[[#This Row],[Zrodla_wiatrowe]]&gt;C317,TRUE,FALSE)</f>
        <v>1</v>
      </c>
      <c r="F318">
        <f>IF(energia[[#This Row],[Czy wiatr rosło]],F317+1,1)</f>
        <v>10</v>
      </c>
      <c r="G318">
        <v>2056.8389999999999</v>
      </c>
      <c r="H318" s="6">
        <f>(energia[[#This Row],[Zrodla_wiatrowe]]+energia[[#This Row],[Zrodla_fotowoltaiczne]])</f>
        <v>5972.5</v>
      </c>
      <c r="I318" s="6">
        <f>I317+energia[[#This Row],[Łączna produkcja]]-energia[[#This Row],[Zapotrzebowanie]]</f>
        <v>330621.7140000005</v>
      </c>
      <c r="J318" t="b">
        <f>IF(energia[[#This Row],[Magazyn]]&lt;0,TRUE,FALSE)</f>
        <v>0</v>
      </c>
    </row>
    <row r="319" spans="1:10" x14ac:dyDescent="0.3">
      <c r="A319" s="1">
        <v>45396</v>
      </c>
      <c r="B319">
        <v>6</v>
      </c>
      <c r="C319">
        <v>6276</v>
      </c>
      <c r="D319">
        <v>22.763000000000002</v>
      </c>
      <c r="E319" t="b">
        <f>IF(energia[[#This Row],[Zrodla_wiatrowe]]&gt;C318,TRUE,FALSE)</f>
        <v>1</v>
      </c>
      <c r="F319">
        <f>IF(energia[[#This Row],[Czy wiatr rosło]],F318+1,1)</f>
        <v>11</v>
      </c>
      <c r="G319">
        <v>3406.194</v>
      </c>
      <c r="H319" s="6">
        <f>(energia[[#This Row],[Zrodla_wiatrowe]]+energia[[#This Row],[Zrodla_fotowoltaiczne]])</f>
        <v>6298.7629999999999</v>
      </c>
      <c r="I319" s="6">
        <f>I318+energia[[#This Row],[Łączna produkcja]]-energia[[#This Row],[Zapotrzebowanie]]</f>
        <v>333514.28300000046</v>
      </c>
      <c r="J319" t="b">
        <f>IF(energia[[#This Row],[Magazyn]]&lt;0,TRUE,FALSE)</f>
        <v>0</v>
      </c>
    </row>
    <row r="320" spans="1:10" x14ac:dyDescent="0.3">
      <c r="A320" s="1">
        <v>45396</v>
      </c>
      <c r="B320">
        <v>7</v>
      </c>
      <c r="C320">
        <v>6597.65</v>
      </c>
      <c r="D320">
        <v>393.1</v>
      </c>
      <c r="E320" t="b">
        <f>IF(energia[[#This Row],[Zrodla_wiatrowe]]&gt;C319,TRUE,FALSE)</f>
        <v>1</v>
      </c>
      <c r="F320">
        <f>IF(energia[[#This Row],[Czy wiatr rosło]],F319+1,1)</f>
        <v>12</v>
      </c>
      <c r="G320">
        <v>4640.0370000000003</v>
      </c>
      <c r="H320" s="6">
        <f>(energia[[#This Row],[Zrodla_wiatrowe]]+energia[[#This Row],[Zrodla_fotowoltaiczne]])</f>
        <v>6990.75</v>
      </c>
      <c r="I320" s="6">
        <f>I319+energia[[#This Row],[Łączna produkcja]]-energia[[#This Row],[Zapotrzebowanie]]</f>
        <v>335864.99600000045</v>
      </c>
      <c r="J320" t="b">
        <f>IF(energia[[#This Row],[Magazyn]]&lt;0,TRUE,FALSE)</f>
        <v>0</v>
      </c>
    </row>
    <row r="321" spans="1:10" x14ac:dyDescent="0.3">
      <c r="A321" s="1">
        <v>45396</v>
      </c>
      <c r="B321">
        <v>8</v>
      </c>
      <c r="C321">
        <v>6402.85</v>
      </c>
      <c r="D321">
        <v>1521.95</v>
      </c>
      <c r="E321" t="b">
        <f>IF(energia[[#This Row],[Zrodla_wiatrowe]]&gt;C320,TRUE,FALSE)</f>
        <v>0</v>
      </c>
      <c r="F321">
        <f>IF(energia[[#This Row],[Czy wiatr rosło]],F320+1,1)</f>
        <v>1</v>
      </c>
      <c r="G321">
        <v>6863.308</v>
      </c>
      <c r="H321" s="6">
        <f>(energia[[#This Row],[Zrodla_wiatrowe]]+energia[[#This Row],[Zrodla_fotowoltaiczne]])</f>
        <v>7924.8</v>
      </c>
      <c r="I321" s="6">
        <f>I320+energia[[#This Row],[Łączna produkcja]]-energia[[#This Row],[Zapotrzebowanie]]</f>
        <v>336926.48800000042</v>
      </c>
      <c r="J321" t="b">
        <f>IF(energia[[#This Row],[Magazyn]]&lt;0,TRUE,FALSE)</f>
        <v>0</v>
      </c>
    </row>
    <row r="322" spans="1:10" x14ac:dyDescent="0.3">
      <c r="A322" s="1">
        <v>45396</v>
      </c>
      <c r="B322">
        <v>9</v>
      </c>
      <c r="C322">
        <v>6034.7129999999997</v>
      </c>
      <c r="D322">
        <v>2818.1129999999998</v>
      </c>
      <c r="E322" t="b">
        <f>IF(energia[[#This Row],[Zrodla_wiatrowe]]&gt;C321,TRUE,FALSE)</f>
        <v>0</v>
      </c>
      <c r="F322">
        <f>IF(energia[[#This Row],[Czy wiatr rosło]],F321+1,1)</f>
        <v>1</v>
      </c>
      <c r="G322">
        <v>7686.8990000000003</v>
      </c>
      <c r="H322" s="6">
        <f>(energia[[#This Row],[Zrodla_wiatrowe]]+energia[[#This Row],[Zrodla_fotowoltaiczne]])</f>
        <v>8852.8259999999991</v>
      </c>
      <c r="I322" s="6">
        <f>I321+energia[[#This Row],[Łączna produkcja]]-energia[[#This Row],[Zapotrzebowanie]]</f>
        <v>338092.41500000044</v>
      </c>
      <c r="J322" t="b">
        <f>IF(energia[[#This Row],[Magazyn]]&lt;0,TRUE,FALSE)</f>
        <v>0</v>
      </c>
    </row>
    <row r="323" spans="1:10" x14ac:dyDescent="0.3">
      <c r="A323" s="1">
        <v>45396</v>
      </c>
      <c r="B323">
        <v>10</v>
      </c>
      <c r="C323">
        <v>6372.4250000000002</v>
      </c>
      <c r="D323">
        <v>3986.95</v>
      </c>
      <c r="E323" t="b">
        <f>IF(energia[[#This Row],[Zrodla_wiatrowe]]&gt;C322,TRUE,FALSE)</f>
        <v>1</v>
      </c>
      <c r="F323">
        <f>IF(energia[[#This Row],[Czy wiatr rosło]],F322+1,1)</f>
        <v>2</v>
      </c>
      <c r="G323">
        <v>8579.4969999999994</v>
      </c>
      <c r="H323" s="6">
        <f>(energia[[#This Row],[Zrodla_wiatrowe]]+energia[[#This Row],[Zrodla_fotowoltaiczne]])</f>
        <v>10359.375</v>
      </c>
      <c r="I323" s="6">
        <f>I322+energia[[#This Row],[Łączna produkcja]]-energia[[#This Row],[Zapotrzebowanie]]</f>
        <v>339872.29300000047</v>
      </c>
      <c r="J323" t="b">
        <f>IF(energia[[#This Row],[Magazyn]]&lt;0,TRUE,FALSE)</f>
        <v>0</v>
      </c>
    </row>
    <row r="324" spans="1:10" x14ac:dyDescent="0.3">
      <c r="A324" s="1">
        <v>45396</v>
      </c>
      <c r="B324">
        <v>11</v>
      </c>
      <c r="C324">
        <v>6298.8379999999997</v>
      </c>
      <c r="D324">
        <v>5170.5</v>
      </c>
      <c r="E324" t="b">
        <f>IF(energia[[#This Row],[Zrodla_wiatrowe]]&gt;C323,TRUE,FALSE)</f>
        <v>0</v>
      </c>
      <c r="F324">
        <f>IF(energia[[#This Row],[Czy wiatr rosło]],F323+1,1)</f>
        <v>1</v>
      </c>
      <c r="G324">
        <v>8555.3919999999998</v>
      </c>
      <c r="H324" s="6">
        <f>(energia[[#This Row],[Zrodla_wiatrowe]]+energia[[#This Row],[Zrodla_fotowoltaiczne]])</f>
        <v>11469.338</v>
      </c>
      <c r="I324" s="6">
        <f>I323+energia[[#This Row],[Łączna produkcja]]-energia[[#This Row],[Zapotrzebowanie]]</f>
        <v>342786.23900000047</v>
      </c>
      <c r="J324" t="b">
        <f>IF(energia[[#This Row],[Magazyn]]&lt;0,TRUE,FALSE)</f>
        <v>0</v>
      </c>
    </row>
    <row r="325" spans="1:10" x14ac:dyDescent="0.3">
      <c r="A325" s="1">
        <v>45396</v>
      </c>
      <c r="B325">
        <v>12</v>
      </c>
      <c r="C325">
        <v>6509.4380000000001</v>
      </c>
      <c r="D325">
        <v>5239.8999999999996</v>
      </c>
      <c r="E325" t="b">
        <f>IF(energia[[#This Row],[Zrodla_wiatrowe]]&gt;C324,TRUE,FALSE)</f>
        <v>1</v>
      </c>
      <c r="F325">
        <f>IF(energia[[#This Row],[Czy wiatr rosło]],F324+1,1)</f>
        <v>2</v>
      </c>
      <c r="G325">
        <v>8697.5669999999991</v>
      </c>
      <c r="H325" s="6">
        <f>(energia[[#This Row],[Zrodla_wiatrowe]]+energia[[#This Row],[Zrodla_fotowoltaiczne]])</f>
        <v>11749.338</v>
      </c>
      <c r="I325" s="6">
        <f>I324+energia[[#This Row],[Łączna produkcja]]-energia[[#This Row],[Zapotrzebowanie]]</f>
        <v>345838.01000000047</v>
      </c>
      <c r="J325" t="b">
        <f>IF(energia[[#This Row],[Magazyn]]&lt;0,TRUE,FALSE)</f>
        <v>0</v>
      </c>
    </row>
    <row r="326" spans="1:10" x14ac:dyDescent="0.3">
      <c r="A326" s="1">
        <v>45396</v>
      </c>
      <c r="B326">
        <v>13</v>
      </c>
      <c r="C326">
        <v>6538.3</v>
      </c>
      <c r="D326">
        <v>5970</v>
      </c>
      <c r="E326" t="b">
        <f>IF(energia[[#This Row],[Zrodla_wiatrowe]]&gt;C325,TRUE,FALSE)</f>
        <v>1</v>
      </c>
      <c r="F326">
        <f>IF(energia[[#This Row],[Czy wiatr rosło]],F325+1,1)</f>
        <v>3</v>
      </c>
      <c r="G326">
        <v>9061.07</v>
      </c>
      <c r="H326" s="6">
        <f>(energia[[#This Row],[Zrodla_wiatrowe]]+energia[[#This Row],[Zrodla_fotowoltaiczne]])</f>
        <v>12508.3</v>
      </c>
      <c r="I326" s="6">
        <f>I325+energia[[#This Row],[Łączna produkcja]]-energia[[#This Row],[Zapotrzebowanie]]</f>
        <v>349285.24000000046</v>
      </c>
      <c r="J326" t="b">
        <f>IF(energia[[#This Row],[Magazyn]]&lt;0,TRUE,FALSE)</f>
        <v>0</v>
      </c>
    </row>
    <row r="327" spans="1:10" x14ac:dyDescent="0.3">
      <c r="A327" s="1">
        <v>45396</v>
      </c>
      <c r="B327">
        <v>14</v>
      </c>
      <c r="C327">
        <v>6541.3379999999997</v>
      </c>
      <c r="D327">
        <v>6004.3379999999997</v>
      </c>
      <c r="E327" t="b">
        <f>IF(energia[[#This Row],[Zrodla_wiatrowe]]&gt;C326,TRUE,FALSE)</f>
        <v>1</v>
      </c>
      <c r="F327">
        <f>IF(energia[[#This Row],[Czy wiatr rosło]],F326+1,1)</f>
        <v>4</v>
      </c>
      <c r="G327">
        <v>8560.3490000000002</v>
      </c>
      <c r="H327" s="6">
        <f>(energia[[#This Row],[Zrodla_wiatrowe]]+energia[[#This Row],[Zrodla_fotowoltaiczne]])</f>
        <v>12545.675999999999</v>
      </c>
      <c r="I327" s="6">
        <f>I326+energia[[#This Row],[Łączna produkcja]]-energia[[#This Row],[Zapotrzebowanie]]</f>
        <v>353270.56700000045</v>
      </c>
      <c r="J327" t="b">
        <f>IF(energia[[#This Row],[Magazyn]]&lt;0,TRUE,FALSE)</f>
        <v>0</v>
      </c>
    </row>
    <row r="328" spans="1:10" x14ac:dyDescent="0.3">
      <c r="A328" s="1">
        <v>45396</v>
      </c>
      <c r="B328">
        <v>15</v>
      </c>
      <c r="C328">
        <v>6461.2</v>
      </c>
      <c r="D328">
        <v>5506.875</v>
      </c>
      <c r="E328" t="b">
        <f>IF(energia[[#This Row],[Zrodla_wiatrowe]]&gt;C327,TRUE,FALSE)</f>
        <v>0</v>
      </c>
      <c r="F328">
        <f>IF(energia[[#This Row],[Czy wiatr rosło]],F327+1,1)</f>
        <v>1</v>
      </c>
      <c r="G328">
        <v>8824.8729999999996</v>
      </c>
      <c r="H328" s="6">
        <f>(energia[[#This Row],[Zrodla_wiatrowe]]+energia[[#This Row],[Zrodla_fotowoltaiczne]])</f>
        <v>11968.075000000001</v>
      </c>
      <c r="I328" s="6">
        <f>I327+energia[[#This Row],[Łączna produkcja]]-energia[[#This Row],[Zapotrzebowanie]]</f>
        <v>356413.76900000044</v>
      </c>
      <c r="J328" t="b">
        <f>IF(energia[[#This Row],[Magazyn]]&lt;0,TRUE,FALSE)</f>
        <v>0</v>
      </c>
    </row>
    <row r="329" spans="1:10" x14ac:dyDescent="0.3">
      <c r="A329" s="1">
        <v>45396</v>
      </c>
      <c r="B329">
        <v>16</v>
      </c>
      <c r="C329">
        <v>6375.2129999999997</v>
      </c>
      <c r="D329">
        <v>5212.8630000000003</v>
      </c>
      <c r="E329" t="b">
        <f>IF(energia[[#This Row],[Zrodla_wiatrowe]]&gt;C328,TRUE,FALSE)</f>
        <v>0</v>
      </c>
      <c r="F329">
        <f>IF(energia[[#This Row],[Czy wiatr rosło]],F328+1,1)</f>
        <v>1</v>
      </c>
      <c r="G329">
        <v>8887.7340000000004</v>
      </c>
      <c r="H329" s="6">
        <f>(energia[[#This Row],[Zrodla_wiatrowe]]+energia[[#This Row],[Zrodla_fotowoltaiczne]])</f>
        <v>11588.076000000001</v>
      </c>
      <c r="I329" s="6">
        <f>I328+energia[[#This Row],[Łączna produkcja]]-energia[[#This Row],[Zapotrzebowanie]]</f>
        <v>359114.11100000044</v>
      </c>
      <c r="J329" t="b">
        <f>IF(energia[[#This Row],[Magazyn]]&lt;0,TRUE,FALSE)</f>
        <v>0</v>
      </c>
    </row>
    <row r="330" spans="1:10" x14ac:dyDescent="0.3">
      <c r="A330" s="1">
        <v>45396</v>
      </c>
      <c r="B330">
        <v>17</v>
      </c>
      <c r="C330">
        <v>6976.7380000000003</v>
      </c>
      <c r="D330">
        <v>4309.4629999999997</v>
      </c>
      <c r="E330" t="b">
        <f>IF(energia[[#This Row],[Zrodla_wiatrowe]]&gt;C329,TRUE,FALSE)</f>
        <v>1</v>
      </c>
      <c r="F330">
        <f>IF(energia[[#This Row],[Czy wiatr rosło]],F329+1,1)</f>
        <v>2</v>
      </c>
      <c r="G330">
        <v>8576.2160000000003</v>
      </c>
      <c r="H330" s="6">
        <f>(energia[[#This Row],[Zrodla_wiatrowe]]+energia[[#This Row],[Zrodla_fotowoltaiczne]])</f>
        <v>11286.201000000001</v>
      </c>
      <c r="I330" s="6">
        <f>I329+energia[[#This Row],[Łączna produkcja]]-energia[[#This Row],[Zapotrzebowanie]]</f>
        <v>361824.09600000043</v>
      </c>
      <c r="J330" t="b">
        <f>IF(energia[[#This Row],[Magazyn]]&lt;0,TRUE,FALSE)</f>
        <v>0</v>
      </c>
    </row>
    <row r="331" spans="1:10" x14ac:dyDescent="0.3">
      <c r="A331" s="1">
        <v>45396</v>
      </c>
      <c r="B331">
        <v>18</v>
      </c>
      <c r="C331">
        <v>6850.1880000000001</v>
      </c>
      <c r="D331">
        <v>2943.1</v>
      </c>
      <c r="E331" t="b">
        <f>IF(energia[[#This Row],[Zrodla_wiatrowe]]&gt;C330,TRUE,FALSE)</f>
        <v>0</v>
      </c>
      <c r="F331">
        <f>IF(energia[[#This Row],[Czy wiatr rosło]],F330+1,1)</f>
        <v>1</v>
      </c>
      <c r="G331">
        <v>7874.4459999999999</v>
      </c>
      <c r="H331" s="6">
        <f>(energia[[#This Row],[Zrodla_wiatrowe]]+energia[[#This Row],[Zrodla_fotowoltaiczne]])</f>
        <v>9793.2880000000005</v>
      </c>
      <c r="I331" s="6">
        <f>I330+energia[[#This Row],[Łączna produkcja]]-energia[[#This Row],[Zapotrzebowanie]]</f>
        <v>363742.93800000043</v>
      </c>
      <c r="J331" t="b">
        <f>IF(energia[[#This Row],[Magazyn]]&lt;0,TRUE,FALSE)</f>
        <v>0</v>
      </c>
    </row>
    <row r="332" spans="1:10" x14ac:dyDescent="0.3">
      <c r="A332" s="1">
        <v>45396</v>
      </c>
      <c r="B332">
        <v>19</v>
      </c>
      <c r="C332">
        <v>6512.7129999999997</v>
      </c>
      <c r="D332">
        <v>1639.95</v>
      </c>
      <c r="E332" t="b">
        <f>IF(energia[[#This Row],[Zrodla_wiatrowe]]&gt;C331,TRUE,FALSE)</f>
        <v>0</v>
      </c>
      <c r="F332">
        <f>IF(energia[[#This Row],[Czy wiatr rosło]],F331+1,1)</f>
        <v>1</v>
      </c>
      <c r="G332">
        <v>7036.9080000000004</v>
      </c>
      <c r="H332" s="6">
        <f>(energia[[#This Row],[Zrodla_wiatrowe]]+energia[[#This Row],[Zrodla_fotowoltaiczne]])</f>
        <v>8152.6629999999996</v>
      </c>
      <c r="I332" s="6">
        <f>I331+energia[[#This Row],[Łączna produkcja]]-energia[[#This Row],[Zapotrzebowanie]]</f>
        <v>364858.69300000044</v>
      </c>
      <c r="J332" t="b">
        <f>IF(energia[[#This Row],[Magazyn]]&lt;0,TRUE,FALSE)</f>
        <v>0</v>
      </c>
    </row>
    <row r="333" spans="1:10" x14ac:dyDescent="0.3">
      <c r="A333" s="1">
        <v>45396</v>
      </c>
      <c r="B333">
        <v>20</v>
      </c>
      <c r="C333">
        <v>5602.85</v>
      </c>
      <c r="D333">
        <v>401.43799999999999</v>
      </c>
      <c r="E333" t="b">
        <f>IF(energia[[#This Row],[Zrodla_wiatrowe]]&gt;C332,TRUE,FALSE)</f>
        <v>0</v>
      </c>
      <c r="F333">
        <f>IF(energia[[#This Row],[Czy wiatr rosło]],F332+1,1)</f>
        <v>1</v>
      </c>
      <c r="G333">
        <v>6846.3990000000003</v>
      </c>
      <c r="H333" s="6">
        <f>(energia[[#This Row],[Zrodla_wiatrowe]]+energia[[#This Row],[Zrodla_fotowoltaiczne]])</f>
        <v>6004.2880000000005</v>
      </c>
      <c r="I333" s="6">
        <f>I332+energia[[#This Row],[Łączna produkcja]]-energia[[#This Row],[Zapotrzebowanie]]</f>
        <v>364016.58200000046</v>
      </c>
      <c r="J333" t="b">
        <f>IF(energia[[#This Row],[Magazyn]]&lt;0,TRUE,FALSE)</f>
        <v>0</v>
      </c>
    </row>
    <row r="334" spans="1:10" x14ac:dyDescent="0.3">
      <c r="A334" s="1">
        <v>45396</v>
      </c>
      <c r="B334">
        <v>21</v>
      </c>
      <c r="C334">
        <v>5012.5749999999998</v>
      </c>
      <c r="D334">
        <v>0</v>
      </c>
      <c r="E334" t="b">
        <f>IF(energia[[#This Row],[Zrodla_wiatrowe]]&gt;C333,TRUE,FALSE)</f>
        <v>0</v>
      </c>
      <c r="F334">
        <f>IF(energia[[#This Row],[Czy wiatr rosło]],F333+1,1)</f>
        <v>1</v>
      </c>
      <c r="G334">
        <v>5319.7910000000002</v>
      </c>
      <c r="H334" s="6">
        <f>(energia[[#This Row],[Zrodla_wiatrowe]]+energia[[#This Row],[Zrodla_fotowoltaiczne]])</f>
        <v>5012.5749999999998</v>
      </c>
      <c r="I334" s="6">
        <f>I333+energia[[#This Row],[Łączna produkcja]]-energia[[#This Row],[Zapotrzebowanie]]</f>
        <v>363709.36600000045</v>
      </c>
      <c r="J334" t="b">
        <f>IF(energia[[#This Row],[Magazyn]]&lt;0,TRUE,FALSE)</f>
        <v>0</v>
      </c>
    </row>
    <row r="335" spans="1:10" x14ac:dyDescent="0.3">
      <c r="A335" s="1">
        <v>45396</v>
      </c>
      <c r="B335">
        <v>22</v>
      </c>
      <c r="C335">
        <v>4847.3879999999999</v>
      </c>
      <c r="D335">
        <v>0</v>
      </c>
      <c r="E335" t="b">
        <f>IF(energia[[#This Row],[Zrodla_wiatrowe]]&gt;C334,TRUE,FALSE)</f>
        <v>0</v>
      </c>
      <c r="F335">
        <f>IF(energia[[#This Row],[Czy wiatr rosło]],F334+1,1)</f>
        <v>1</v>
      </c>
      <c r="G335">
        <v>5134.8140000000003</v>
      </c>
      <c r="H335" s="6">
        <f>(energia[[#This Row],[Zrodla_wiatrowe]]+energia[[#This Row],[Zrodla_fotowoltaiczne]])</f>
        <v>4847.3879999999999</v>
      </c>
      <c r="I335" s="6">
        <f>I334+energia[[#This Row],[Łączna produkcja]]-energia[[#This Row],[Zapotrzebowanie]]</f>
        <v>363421.94000000041</v>
      </c>
      <c r="J335" t="b">
        <f>IF(energia[[#This Row],[Magazyn]]&lt;0,TRUE,FALSE)</f>
        <v>0</v>
      </c>
    </row>
    <row r="336" spans="1:10" x14ac:dyDescent="0.3">
      <c r="A336" s="1">
        <v>45396</v>
      </c>
      <c r="B336">
        <v>23</v>
      </c>
      <c r="C336">
        <v>4398.375</v>
      </c>
      <c r="D336">
        <v>0</v>
      </c>
      <c r="E336" t="b">
        <f>IF(energia[[#This Row],[Zrodla_wiatrowe]]&gt;C335,TRUE,FALSE)</f>
        <v>0</v>
      </c>
      <c r="F336">
        <f>IF(energia[[#This Row],[Czy wiatr rosło]],F335+1,1)</f>
        <v>1</v>
      </c>
      <c r="G336">
        <v>3181.0859999999998</v>
      </c>
      <c r="H336" s="6">
        <f>(energia[[#This Row],[Zrodla_wiatrowe]]+energia[[#This Row],[Zrodla_fotowoltaiczne]])</f>
        <v>4398.375</v>
      </c>
      <c r="I336" s="6">
        <f>I335+energia[[#This Row],[Łączna produkcja]]-energia[[#This Row],[Zapotrzebowanie]]</f>
        <v>364639.2290000004</v>
      </c>
      <c r="J336" t="b">
        <f>IF(energia[[#This Row],[Magazyn]]&lt;0,TRUE,FALSE)</f>
        <v>0</v>
      </c>
    </row>
    <row r="337" spans="1:10" x14ac:dyDescent="0.3">
      <c r="A337" s="1">
        <v>45396</v>
      </c>
      <c r="B337">
        <v>24</v>
      </c>
      <c r="C337">
        <v>3962.788</v>
      </c>
      <c r="D337">
        <v>0</v>
      </c>
      <c r="E337" t="b">
        <f>IF(energia[[#This Row],[Zrodla_wiatrowe]]&gt;C336,TRUE,FALSE)</f>
        <v>0</v>
      </c>
      <c r="F337">
        <f>IF(energia[[#This Row],[Czy wiatr rosło]],F336+1,1)</f>
        <v>1</v>
      </c>
      <c r="G337">
        <v>1867.71</v>
      </c>
      <c r="H337" s="6">
        <f>(energia[[#This Row],[Zrodla_wiatrowe]]+energia[[#This Row],[Zrodla_fotowoltaiczne]])</f>
        <v>3962.788</v>
      </c>
      <c r="I337" s="6">
        <f>I336+energia[[#This Row],[Łączna produkcja]]-energia[[#This Row],[Zapotrzebowanie]]</f>
        <v>366734.30700000038</v>
      </c>
      <c r="J337" t="b">
        <f>IF(energia[[#This Row],[Magazyn]]&lt;0,TRUE,FALSE)</f>
        <v>0</v>
      </c>
    </row>
    <row r="338" spans="1:10" x14ac:dyDescent="0.3">
      <c r="A338" s="1">
        <v>45397</v>
      </c>
      <c r="B338">
        <v>1</v>
      </c>
      <c r="C338">
        <v>3412.875</v>
      </c>
      <c r="D338">
        <v>0</v>
      </c>
      <c r="E338" t="b">
        <f>IF(energia[[#This Row],[Zrodla_wiatrowe]]&gt;C337,TRUE,FALSE)</f>
        <v>0</v>
      </c>
      <c r="F338">
        <f>IF(energia[[#This Row],[Czy wiatr rosło]],F337+1,1)</f>
        <v>1</v>
      </c>
      <c r="G338">
        <v>1563.6410000000001</v>
      </c>
      <c r="H338" s="6">
        <f>(energia[[#This Row],[Zrodla_wiatrowe]]+energia[[#This Row],[Zrodla_fotowoltaiczne]])</f>
        <v>3412.875</v>
      </c>
      <c r="I338" s="6">
        <f>I337+energia[[#This Row],[Łączna produkcja]]-energia[[#This Row],[Zapotrzebowanie]]</f>
        <v>368583.54100000038</v>
      </c>
      <c r="J338" t="b">
        <f>IF(energia[[#This Row],[Magazyn]]&lt;0,TRUE,FALSE)</f>
        <v>0</v>
      </c>
    </row>
    <row r="339" spans="1:10" x14ac:dyDescent="0.3">
      <c r="A339" s="1">
        <v>45397</v>
      </c>
      <c r="B339">
        <v>2</v>
      </c>
      <c r="C339">
        <v>2599.9250000000002</v>
      </c>
      <c r="D339">
        <v>0</v>
      </c>
      <c r="E339" t="b">
        <f>IF(energia[[#This Row],[Zrodla_wiatrowe]]&gt;C338,TRUE,FALSE)</f>
        <v>0</v>
      </c>
      <c r="F339">
        <f>IF(energia[[#This Row],[Czy wiatr rosło]],F338+1,1)</f>
        <v>1</v>
      </c>
      <c r="G339">
        <v>1340.597</v>
      </c>
      <c r="H339" s="6">
        <f>(energia[[#This Row],[Zrodla_wiatrowe]]+energia[[#This Row],[Zrodla_fotowoltaiczne]])</f>
        <v>2599.9250000000002</v>
      </c>
      <c r="I339" s="6">
        <f>I338+energia[[#This Row],[Łączna produkcja]]-energia[[#This Row],[Zapotrzebowanie]]</f>
        <v>369842.86900000036</v>
      </c>
      <c r="J339" t="b">
        <f>IF(energia[[#This Row],[Magazyn]]&lt;0,TRUE,FALSE)</f>
        <v>0</v>
      </c>
    </row>
    <row r="340" spans="1:10" x14ac:dyDescent="0.3">
      <c r="A340" s="1">
        <v>45397</v>
      </c>
      <c r="B340">
        <v>3</v>
      </c>
      <c r="C340">
        <v>2349.8629999999998</v>
      </c>
      <c r="D340">
        <v>0</v>
      </c>
      <c r="E340" t="b">
        <f>IF(energia[[#This Row],[Zrodla_wiatrowe]]&gt;C339,TRUE,FALSE)</f>
        <v>0</v>
      </c>
      <c r="F340">
        <f>IF(energia[[#This Row],[Czy wiatr rosło]],F339+1,1)</f>
        <v>1</v>
      </c>
      <c r="G340">
        <v>1253.8420000000001</v>
      </c>
      <c r="H340" s="6">
        <f>(energia[[#This Row],[Zrodla_wiatrowe]]+energia[[#This Row],[Zrodla_fotowoltaiczne]])</f>
        <v>2349.8629999999998</v>
      </c>
      <c r="I340" s="6">
        <f>I339+energia[[#This Row],[Łączna produkcja]]-energia[[#This Row],[Zapotrzebowanie]]</f>
        <v>370938.89000000036</v>
      </c>
      <c r="J340" t="b">
        <f>IF(energia[[#This Row],[Magazyn]]&lt;0,TRUE,FALSE)</f>
        <v>0</v>
      </c>
    </row>
    <row r="341" spans="1:10" x14ac:dyDescent="0.3">
      <c r="A341" s="1">
        <v>45397</v>
      </c>
      <c r="B341">
        <v>4</v>
      </c>
      <c r="C341">
        <v>2203.0880000000002</v>
      </c>
      <c r="D341">
        <v>0</v>
      </c>
      <c r="E341" t="b">
        <f>IF(energia[[#This Row],[Zrodla_wiatrowe]]&gt;C340,TRUE,FALSE)</f>
        <v>0</v>
      </c>
      <c r="F341">
        <f>IF(energia[[#This Row],[Czy wiatr rosło]],F340+1,1)</f>
        <v>1</v>
      </c>
      <c r="G341">
        <v>1256.412</v>
      </c>
      <c r="H341" s="6">
        <f>(energia[[#This Row],[Zrodla_wiatrowe]]+energia[[#This Row],[Zrodla_fotowoltaiczne]])</f>
        <v>2203.0880000000002</v>
      </c>
      <c r="I341" s="6">
        <f>I340+energia[[#This Row],[Łączna produkcja]]-energia[[#This Row],[Zapotrzebowanie]]</f>
        <v>371885.56600000034</v>
      </c>
      <c r="J341" t="b">
        <f>IF(energia[[#This Row],[Magazyn]]&lt;0,TRUE,FALSE)</f>
        <v>0</v>
      </c>
    </row>
    <row r="342" spans="1:10" x14ac:dyDescent="0.3">
      <c r="A342" s="1">
        <v>45397</v>
      </c>
      <c r="B342">
        <v>5</v>
      </c>
      <c r="C342">
        <v>2138.9250000000002</v>
      </c>
      <c r="D342">
        <v>0</v>
      </c>
      <c r="E342" t="b">
        <f>IF(energia[[#This Row],[Zrodla_wiatrowe]]&gt;C341,TRUE,FALSE)</f>
        <v>0</v>
      </c>
      <c r="F342">
        <f>IF(energia[[#This Row],[Czy wiatr rosło]],F341+1,1)</f>
        <v>1</v>
      </c>
      <c r="G342">
        <v>1883.5350000000001</v>
      </c>
      <c r="H342" s="6">
        <f>(energia[[#This Row],[Zrodla_wiatrowe]]+energia[[#This Row],[Zrodla_fotowoltaiczne]])</f>
        <v>2138.9250000000002</v>
      </c>
      <c r="I342" s="6">
        <f>I341+energia[[#This Row],[Łączna produkcja]]-energia[[#This Row],[Zapotrzebowanie]]</f>
        <v>372140.95600000035</v>
      </c>
      <c r="J342" t="b">
        <f>IF(energia[[#This Row],[Magazyn]]&lt;0,TRUE,FALSE)</f>
        <v>0</v>
      </c>
    </row>
    <row r="343" spans="1:10" x14ac:dyDescent="0.3">
      <c r="A343" s="1">
        <v>45397</v>
      </c>
      <c r="B343">
        <v>6</v>
      </c>
      <c r="C343">
        <v>2209.0880000000002</v>
      </c>
      <c r="D343">
        <v>41.738</v>
      </c>
      <c r="E343" t="b">
        <f>IF(energia[[#This Row],[Zrodla_wiatrowe]]&gt;C342,TRUE,FALSE)</f>
        <v>1</v>
      </c>
      <c r="F343">
        <f>IF(energia[[#This Row],[Czy wiatr rosło]],F342+1,1)</f>
        <v>2</v>
      </c>
      <c r="G343">
        <v>3119.1979999999999</v>
      </c>
      <c r="H343" s="6">
        <f>(energia[[#This Row],[Zrodla_wiatrowe]]+energia[[#This Row],[Zrodla_fotowoltaiczne]])</f>
        <v>2250.826</v>
      </c>
      <c r="I343" s="6">
        <f>I342+energia[[#This Row],[Łączna produkcja]]-energia[[#This Row],[Zapotrzebowanie]]</f>
        <v>371272.58400000038</v>
      </c>
      <c r="J343" t="b">
        <f>IF(energia[[#This Row],[Magazyn]]&lt;0,TRUE,FALSE)</f>
        <v>0</v>
      </c>
    </row>
    <row r="344" spans="1:10" x14ac:dyDescent="0.3">
      <c r="A344" s="1">
        <v>45397</v>
      </c>
      <c r="B344">
        <v>7</v>
      </c>
      <c r="C344">
        <v>2132.9630000000002</v>
      </c>
      <c r="D344">
        <v>265.21300000000002</v>
      </c>
      <c r="E344" t="b">
        <f>IF(energia[[#This Row],[Zrodla_wiatrowe]]&gt;C343,TRUE,FALSE)</f>
        <v>0</v>
      </c>
      <c r="F344">
        <f>IF(energia[[#This Row],[Czy wiatr rosło]],F343+1,1)</f>
        <v>1</v>
      </c>
      <c r="G344">
        <v>4249.0810000000001</v>
      </c>
      <c r="H344" s="6">
        <f>(energia[[#This Row],[Zrodla_wiatrowe]]+energia[[#This Row],[Zrodla_fotowoltaiczne]])</f>
        <v>2398.1760000000004</v>
      </c>
      <c r="I344" s="6">
        <f>I343+energia[[#This Row],[Łączna produkcja]]-energia[[#This Row],[Zapotrzebowanie]]</f>
        <v>369421.67900000035</v>
      </c>
      <c r="J344" t="b">
        <f>IF(energia[[#This Row],[Magazyn]]&lt;0,TRUE,FALSE)</f>
        <v>0</v>
      </c>
    </row>
    <row r="345" spans="1:10" x14ac:dyDescent="0.3">
      <c r="A345" s="1">
        <v>45397</v>
      </c>
      <c r="B345">
        <v>8</v>
      </c>
      <c r="C345">
        <v>1704.163</v>
      </c>
      <c r="D345">
        <v>872.42499999999995</v>
      </c>
      <c r="E345" t="b">
        <f>IF(energia[[#This Row],[Zrodla_wiatrowe]]&gt;C344,TRUE,FALSE)</f>
        <v>0</v>
      </c>
      <c r="F345">
        <f>IF(energia[[#This Row],[Czy wiatr rosło]],F344+1,1)</f>
        <v>1</v>
      </c>
      <c r="G345">
        <v>6285.0240000000003</v>
      </c>
      <c r="H345" s="6">
        <f>(energia[[#This Row],[Zrodla_wiatrowe]]+energia[[#This Row],[Zrodla_fotowoltaiczne]])</f>
        <v>2576.5879999999997</v>
      </c>
      <c r="I345" s="6">
        <f>I344+energia[[#This Row],[Łączna produkcja]]-energia[[#This Row],[Zapotrzebowanie]]</f>
        <v>365713.24300000037</v>
      </c>
      <c r="J345" t="b">
        <f>IF(energia[[#This Row],[Magazyn]]&lt;0,TRUE,FALSE)</f>
        <v>0</v>
      </c>
    </row>
    <row r="346" spans="1:10" x14ac:dyDescent="0.3">
      <c r="A346" s="1">
        <v>45397</v>
      </c>
      <c r="B346">
        <v>9</v>
      </c>
      <c r="C346">
        <v>1390</v>
      </c>
      <c r="D346">
        <v>2106.913</v>
      </c>
      <c r="E346" t="b">
        <f>IF(energia[[#This Row],[Zrodla_wiatrowe]]&gt;C345,TRUE,FALSE)</f>
        <v>0</v>
      </c>
      <c r="F346">
        <f>IF(energia[[#This Row],[Czy wiatr rosło]],F345+1,1)</f>
        <v>1</v>
      </c>
      <c r="G346">
        <v>7039.2219999999998</v>
      </c>
      <c r="H346" s="6">
        <f>(energia[[#This Row],[Zrodla_wiatrowe]]+energia[[#This Row],[Zrodla_fotowoltaiczne]])</f>
        <v>3496.913</v>
      </c>
      <c r="I346" s="6">
        <f>I345+energia[[#This Row],[Łączna produkcja]]-energia[[#This Row],[Zapotrzebowanie]]</f>
        <v>362170.93400000036</v>
      </c>
      <c r="J346" t="b">
        <f>IF(energia[[#This Row],[Magazyn]]&lt;0,TRUE,FALSE)</f>
        <v>0</v>
      </c>
    </row>
    <row r="347" spans="1:10" x14ac:dyDescent="0.3">
      <c r="A347" s="1">
        <v>45397</v>
      </c>
      <c r="B347">
        <v>10</v>
      </c>
      <c r="C347">
        <v>1246.6500000000001</v>
      </c>
      <c r="D347">
        <v>4120.8879999999999</v>
      </c>
      <c r="E347" t="b">
        <f>IF(energia[[#This Row],[Zrodla_wiatrowe]]&gt;C346,TRUE,FALSE)</f>
        <v>0</v>
      </c>
      <c r="F347">
        <f>IF(energia[[#This Row],[Czy wiatr rosło]],F346+1,1)</f>
        <v>1</v>
      </c>
      <c r="G347">
        <v>7856.6120000000001</v>
      </c>
      <c r="H347" s="6">
        <f>(energia[[#This Row],[Zrodla_wiatrowe]]+energia[[#This Row],[Zrodla_fotowoltaiczne]])</f>
        <v>5367.5380000000005</v>
      </c>
      <c r="I347" s="6">
        <f>I346+energia[[#This Row],[Łączna produkcja]]-energia[[#This Row],[Zapotrzebowanie]]</f>
        <v>359681.86000000034</v>
      </c>
      <c r="J347" t="b">
        <f>IF(energia[[#This Row],[Magazyn]]&lt;0,TRUE,FALSE)</f>
        <v>0</v>
      </c>
    </row>
    <row r="348" spans="1:10" x14ac:dyDescent="0.3">
      <c r="A348" s="1">
        <v>45397</v>
      </c>
      <c r="B348">
        <v>11</v>
      </c>
      <c r="C348">
        <v>1263.1130000000001</v>
      </c>
      <c r="D348">
        <v>5402.05</v>
      </c>
      <c r="E348" t="b">
        <f>IF(energia[[#This Row],[Zrodla_wiatrowe]]&gt;C347,TRUE,FALSE)</f>
        <v>1</v>
      </c>
      <c r="F348">
        <f>IF(energia[[#This Row],[Czy wiatr rosło]],F347+1,1)</f>
        <v>2</v>
      </c>
      <c r="G348">
        <v>7834.5379999999996</v>
      </c>
      <c r="H348" s="6">
        <f>(energia[[#This Row],[Zrodla_wiatrowe]]+energia[[#This Row],[Zrodla_fotowoltaiczne]])</f>
        <v>6665.1630000000005</v>
      </c>
      <c r="I348" s="6">
        <f>I347+energia[[#This Row],[Łączna produkcja]]-energia[[#This Row],[Zapotrzebowanie]]</f>
        <v>358512.48500000034</v>
      </c>
      <c r="J348" t="b">
        <f>IF(energia[[#This Row],[Magazyn]]&lt;0,TRUE,FALSE)</f>
        <v>0</v>
      </c>
    </row>
    <row r="349" spans="1:10" x14ac:dyDescent="0.3">
      <c r="A349" s="1">
        <v>45397</v>
      </c>
      <c r="B349">
        <v>12</v>
      </c>
      <c r="C349">
        <v>1257.0129999999999</v>
      </c>
      <c r="D349">
        <v>6184.7879999999996</v>
      </c>
      <c r="E349" t="b">
        <f>IF(energia[[#This Row],[Zrodla_wiatrowe]]&gt;C348,TRUE,FALSE)</f>
        <v>0</v>
      </c>
      <c r="F349">
        <f>IF(energia[[#This Row],[Czy wiatr rosło]],F348+1,1)</f>
        <v>1</v>
      </c>
      <c r="G349">
        <v>7964.7340000000004</v>
      </c>
      <c r="H349" s="6">
        <f>(energia[[#This Row],[Zrodla_wiatrowe]]+energia[[#This Row],[Zrodla_fotowoltaiczne]])</f>
        <v>7441.8009999999995</v>
      </c>
      <c r="I349" s="6">
        <f>I348+energia[[#This Row],[Łączna produkcja]]-energia[[#This Row],[Zapotrzebowanie]]</f>
        <v>357989.55200000032</v>
      </c>
      <c r="J349" t="b">
        <f>IF(energia[[#This Row],[Magazyn]]&lt;0,TRUE,FALSE)</f>
        <v>0</v>
      </c>
    </row>
    <row r="350" spans="1:10" x14ac:dyDescent="0.3">
      <c r="A350" s="1">
        <v>45397</v>
      </c>
      <c r="B350">
        <v>13</v>
      </c>
      <c r="C350">
        <v>1076.1500000000001</v>
      </c>
      <c r="D350">
        <v>6366.5379999999996</v>
      </c>
      <c r="E350" t="b">
        <f>IF(energia[[#This Row],[Zrodla_wiatrowe]]&gt;C349,TRUE,FALSE)</f>
        <v>0</v>
      </c>
      <c r="F350">
        <f>IF(energia[[#This Row],[Czy wiatr rosło]],F349+1,1)</f>
        <v>1</v>
      </c>
      <c r="G350">
        <v>8297.6090000000004</v>
      </c>
      <c r="H350" s="6">
        <f>(energia[[#This Row],[Zrodla_wiatrowe]]+energia[[#This Row],[Zrodla_fotowoltaiczne]])</f>
        <v>7442.6880000000001</v>
      </c>
      <c r="I350" s="6">
        <f>I349+energia[[#This Row],[Łączna produkcja]]-energia[[#This Row],[Zapotrzebowanie]]</f>
        <v>357134.63100000034</v>
      </c>
      <c r="J350" t="b">
        <f>IF(energia[[#This Row],[Magazyn]]&lt;0,TRUE,FALSE)</f>
        <v>0</v>
      </c>
    </row>
    <row r="351" spans="1:10" x14ac:dyDescent="0.3">
      <c r="A351" s="1">
        <v>45397</v>
      </c>
      <c r="B351">
        <v>14</v>
      </c>
      <c r="C351">
        <v>842.32500000000005</v>
      </c>
      <c r="D351">
        <v>5958.9880000000003</v>
      </c>
      <c r="E351" t="b">
        <f>IF(energia[[#This Row],[Zrodla_wiatrowe]]&gt;C350,TRUE,FALSE)</f>
        <v>0</v>
      </c>
      <c r="F351">
        <f>IF(energia[[#This Row],[Czy wiatr rosło]],F350+1,1)</f>
        <v>1</v>
      </c>
      <c r="G351">
        <v>7839.0770000000002</v>
      </c>
      <c r="H351" s="6">
        <f>(energia[[#This Row],[Zrodla_wiatrowe]]+energia[[#This Row],[Zrodla_fotowoltaiczne]])</f>
        <v>6801.3130000000001</v>
      </c>
      <c r="I351" s="6">
        <f>I350+energia[[#This Row],[Łączna produkcja]]-energia[[#This Row],[Zapotrzebowanie]]</f>
        <v>356096.86700000038</v>
      </c>
      <c r="J351" t="b">
        <f>IF(energia[[#This Row],[Magazyn]]&lt;0,TRUE,FALSE)</f>
        <v>0</v>
      </c>
    </row>
    <row r="352" spans="1:10" x14ac:dyDescent="0.3">
      <c r="A352" s="1">
        <v>45397</v>
      </c>
      <c r="B352">
        <v>15</v>
      </c>
      <c r="C352">
        <v>685.6</v>
      </c>
      <c r="D352">
        <v>5267.6379999999999</v>
      </c>
      <c r="E352" t="b">
        <f>IF(energia[[#This Row],[Zrodla_wiatrowe]]&gt;C351,TRUE,FALSE)</f>
        <v>0</v>
      </c>
      <c r="F352">
        <f>IF(energia[[#This Row],[Czy wiatr rosło]],F351+1,1)</f>
        <v>1</v>
      </c>
      <c r="G352">
        <v>8081.3140000000003</v>
      </c>
      <c r="H352" s="6">
        <f>(energia[[#This Row],[Zrodla_wiatrowe]]+energia[[#This Row],[Zrodla_fotowoltaiczne]])</f>
        <v>5953.2380000000003</v>
      </c>
      <c r="I352" s="6">
        <f>I351+energia[[#This Row],[Łączna produkcja]]-energia[[#This Row],[Zapotrzebowanie]]</f>
        <v>353968.79100000038</v>
      </c>
      <c r="J352" t="b">
        <f>IF(energia[[#This Row],[Magazyn]]&lt;0,TRUE,FALSE)</f>
        <v>0</v>
      </c>
    </row>
    <row r="353" spans="1:10" x14ac:dyDescent="0.3">
      <c r="A353" s="1">
        <v>45397</v>
      </c>
      <c r="B353">
        <v>16</v>
      </c>
      <c r="C353">
        <v>696.32500000000005</v>
      </c>
      <c r="D353">
        <v>4558.4250000000002</v>
      </c>
      <c r="E353" t="b">
        <f>IF(energia[[#This Row],[Zrodla_wiatrowe]]&gt;C352,TRUE,FALSE)</f>
        <v>1</v>
      </c>
      <c r="F353">
        <f>IF(energia[[#This Row],[Czy wiatr rosło]],F352+1,1)</f>
        <v>2</v>
      </c>
      <c r="G353">
        <v>8138.8779999999997</v>
      </c>
      <c r="H353" s="6">
        <f>(energia[[#This Row],[Zrodla_wiatrowe]]+energia[[#This Row],[Zrodla_fotowoltaiczne]])</f>
        <v>5254.75</v>
      </c>
      <c r="I353" s="6">
        <f>I352+energia[[#This Row],[Łączna produkcja]]-energia[[#This Row],[Zapotrzebowanie]]</f>
        <v>351084.66300000035</v>
      </c>
      <c r="J353" t="b">
        <f>IF(energia[[#This Row],[Magazyn]]&lt;0,TRUE,FALSE)</f>
        <v>0</v>
      </c>
    </row>
    <row r="354" spans="1:10" x14ac:dyDescent="0.3">
      <c r="A354" s="1">
        <v>45397</v>
      </c>
      <c r="B354">
        <v>17</v>
      </c>
      <c r="C354">
        <v>668.73800000000006</v>
      </c>
      <c r="D354">
        <v>3536.1129999999998</v>
      </c>
      <c r="E354" t="b">
        <f>IF(energia[[#This Row],[Zrodla_wiatrowe]]&gt;C353,TRUE,FALSE)</f>
        <v>0</v>
      </c>
      <c r="F354">
        <f>IF(energia[[#This Row],[Czy wiatr rosło]],F353+1,1)</f>
        <v>1</v>
      </c>
      <c r="G354">
        <v>7853.6080000000002</v>
      </c>
      <c r="H354" s="6">
        <f>(energia[[#This Row],[Zrodla_wiatrowe]]+energia[[#This Row],[Zrodla_fotowoltaiczne]])</f>
        <v>4204.8509999999997</v>
      </c>
      <c r="I354" s="6">
        <f>I353+energia[[#This Row],[Łączna produkcja]]-energia[[#This Row],[Zapotrzebowanie]]</f>
        <v>347435.90600000037</v>
      </c>
      <c r="J354" t="b">
        <f>IF(energia[[#This Row],[Magazyn]]&lt;0,TRUE,FALSE)</f>
        <v>0</v>
      </c>
    </row>
    <row r="355" spans="1:10" x14ac:dyDescent="0.3">
      <c r="A355" s="1">
        <v>45397</v>
      </c>
      <c r="B355">
        <v>18</v>
      </c>
      <c r="C355">
        <v>613.68799999999999</v>
      </c>
      <c r="D355">
        <v>2229.5129999999999</v>
      </c>
      <c r="E355" t="b">
        <f>IF(energia[[#This Row],[Zrodla_wiatrowe]]&gt;C354,TRUE,FALSE)</f>
        <v>0</v>
      </c>
      <c r="F355">
        <f>IF(energia[[#This Row],[Czy wiatr rosło]],F354+1,1)</f>
        <v>1</v>
      </c>
      <c r="G355">
        <v>7210.9669999999996</v>
      </c>
      <c r="H355" s="6">
        <f>(energia[[#This Row],[Zrodla_wiatrowe]]+energia[[#This Row],[Zrodla_fotowoltaiczne]])</f>
        <v>2843.201</v>
      </c>
      <c r="I355" s="6">
        <f>I354+energia[[#This Row],[Łączna produkcja]]-energia[[#This Row],[Zapotrzebowanie]]</f>
        <v>343068.14000000036</v>
      </c>
      <c r="J355" t="b">
        <f>IF(energia[[#This Row],[Magazyn]]&lt;0,TRUE,FALSE)</f>
        <v>0</v>
      </c>
    </row>
    <row r="356" spans="1:10" x14ac:dyDescent="0.3">
      <c r="A356" s="1">
        <v>45397</v>
      </c>
      <c r="B356">
        <v>19</v>
      </c>
      <c r="C356">
        <v>666.21299999999997</v>
      </c>
      <c r="D356">
        <v>1019.625</v>
      </c>
      <c r="E356" t="b">
        <f>IF(energia[[#This Row],[Zrodla_wiatrowe]]&gt;C355,TRUE,FALSE)</f>
        <v>1</v>
      </c>
      <c r="F356">
        <f>IF(energia[[#This Row],[Czy wiatr rosło]],F355+1,1)</f>
        <v>2</v>
      </c>
      <c r="G356">
        <v>6443.9979999999996</v>
      </c>
      <c r="H356" s="6">
        <f>(energia[[#This Row],[Zrodla_wiatrowe]]+energia[[#This Row],[Zrodla_fotowoltaiczne]])</f>
        <v>1685.838</v>
      </c>
      <c r="I356" s="6">
        <f>I355+energia[[#This Row],[Łączna produkcja]]-energia[[#This Row],[Zapotrzebowanie]]</f>
        <v>338309.98000000033</v>
      </c>
      <c r="J356" t="b">
        <f>IF(energia[[#This Row],[Magazyn]]&lt;0,TRUE,FALSE)</f>
        <v>0</v>
      </c>
    </row>
    <row r="357" spans="1:10" x14ac:dyDescent="0.3">
      <c r="A357" s="1">
        <v>45397</v>
      </c>
      <c r="B357">
        <v>20</v>
      </c>
      <c r="C357">
        <v>1073.825</v>
      </c>
      <c r="D357">
        <v>275.10000000000002</v>
      </c>
      <c r="E357" t="b">
        <f>IF(energia[[#This Row],[Zrodla_wiatrowe]]&gt;C356,TRUE,FALSE)</f>
        <v>1</v>
      </c>
      <c r="F357">
        <f>IF(energia[[#This Row],[Czy wiatr rosło]],F356+1,1)</f>
        <v>3</v>
      </c>
      <c r="G357">
        <v>6269.54</v>
      </c>
      <c r="H357" s="6">
        <f>(energia[[#This Row],[Zrodla_wiatrowe]]+energia[[#This Row],[Zrodla_fotowoltaiczne]])</f>
        <v>1348.9250000000002</v>
      </c>
      <c r="I357" s="6">
        <f>I356+energia[[#This Row],[Łączna produkcja]]-energia[[#This Row],[Zapotrzebowanie]]</f>
        <v>333389.36500000034</v>
      </c>
      <c r="J357" t="b">
        <f>IF(energia[[#This Row],[Magazyn]]&lt;0,TRUE,FALSE)</f>
        <v>0</v>
      </c>
    </row>
    <row r="358" spans="1:10" x14ac:dyDescent="0.3">
      <c r="A358" s="1">
        <v>45397</v>
      </c>
      <c r="B358">
        <v>21</v>
      </c>
      <c r="C358">
        <v>1802.7750000000001</v>
      </c>
      <c r="D358">
        <v>16.899999999999999</v>
      </c>
      <c r="E358" t="b">
        <f>IF(energia[[#This Row],[Zrodla_wiatrowe]]&gt;C357,TRUE,FALSE)</f>
        <v>1</v>
      </c>
      <c r="F358">
        <f>IF(energia[[#This Row],[Czy wiatr rosło]],F357+1,1)</f>
        <v>4</v>
      </c>
      <c r="G358">
        <v>4871.5600000000004</v>
      </c>
      <c r="H358" s="6">
        <f>(energia[[#This Row],[Zrodla_wiatrowe]]+energia[[#This Row],[Zrodla_fotowoltaiczne]])</f>
        <v>1819.6750000000002</v>
      </c>
      <c r="I358" s="6">
        <f>I357+energia[[#This Row],[Łączna produkcja]]-energia[[#This Row],[Zapotrzebowanie]]</f>
        <v>330337.48000000033</v>
      </c>
      <c r="J358" t="b">
        <f>IF(energia[[#This Row],[Magazyn]]&lt;0,TRUE,FALSE)</f>
        <v>0</v>
      </c>
    </row>
    <row r="359" spans="1:10" x14ac:dyDescent="0.3">
      <c r="A359" s="1">
        <v>45397</v>
      </c>
      <c r="B359">
        <v>22</v>
      </c>
      <c r="C359">
        <v>2176.7379999999998</v>
      </c>
      <c r="D359">
        <v>0</v>
      </c>
      <c r="E359" t="b">
        <f>IF(energia[[#This Row],[Zrodla_wiatrowe]]&gt;C358,TRUE,FALSE)</f>
        <v>1</v>
      </c>
      <c r="F359">
        <f>IF(energia[[#This Row],[Czy wiatr rosło]],F358+1,1)</f>
        <v>5</v>
      </c>
      <c r="G359">
        <v>4702.1689999999999</v>
      </c>
      <c r="H359" s="6">
        <f>(energia[[#This Row],[Zrodla_wiatrowe]]+energia[[#This Row],[Zrodla_fotowoltaiczne]])</f>
        <v>2176.7379999999998</v>
      </c>
      <c r="I359" s="6">
        <f>I358+energia[[#This Row],[Łączna produkcja]]-energia[[#This Row],[Zapotrzebowanie]]</f>
        <v>327812.04900000035</v>
      </c>
      <c r="J359" t="b">
        <f>IF(energia[[#This Row],[Magazyn]]&lt;0,TRUE,FALSE)</f>
        <v>0</v>
      </c>
    </row>
    <row r="360" spans="1:10" x14ac:dyDescent="0.3">
      <c r="A360" s="1">
        <v>45397</v>
      </c>
      <c r="B360">
        <v>23</v>
      </c>
      <c r="C360">
        <v>2737.8380000000002</v>
      </c>
      <c r="D360">
        <v>0</v>
      </c>
      <c r="E360" t="b">
        <f>IF(energia[[#This Row],[Zrodla_wiatrowe]]&gt;C359,TRUE,FALSE)</f>
        <v>1</v>
      </c>
      <c r="F360">
        <f>IF(energia[[#This Row],[Czy wiatr rosło]],F359+1,1)</f>
        <v>6</v>
      </c>
      <c r="G360">
        <v>2913.056</v>
      </c>
      <c r="H360" s="6">
        <f>(energia[[#This Row],[Zrodla_wiatrowe]]+energia[[#This Row],[Zrodla_fotowoltaiczne]])</f>
        <v>2737.8380000000002</v>
      </c>
      <c r="I360" s="6">
        <f>I359+energia[[#This Row],[Łączna produkcja]]-energia[[#This Row],[Zapotrzebowanie]]</f>
        <v>327636.83100000035</v>
      </c>
      <c r="J360" t="b">
        <f>IF(energia[[#This Row],[Magazyn]]&lt;0,TRUE,FALSE)</f>
        <v>0</v>
      </c>
    </row>
    <row r="361" spans="1:10" x14ac:dyDescent="0.3">
      <c r="A361" s="1">
        <v>45397</v>
      </c>
      <c r="B361">
        <v>24</v>
      </c>
      <c r="C361">
        <v>2771.35</v>
      </c>
      <c r="D361">
        <v>0</v>
      </c>
      <c r="E361" t="b">
        <f>IF(energia[[#This Row],[Zrodla_wiatrowe]]&gt;C360,TRUE,FALSE)</f>
        <v>1</v>
      </c>
      <c r="F361">
        <f>IF(energia[[#This Row],[Czy wiatr rosło]],F360+1,1)</f>
        <v>7</v>
      </c>
      <c r="G361">
        <v>1710.3420000000001</v>
      </c>
      <c r="H361" s="6">
        <f>(energia[[#This Row],[Zrodla_wiatrowe]]+energia[[#This Row],[Zrodla_fotowoltaiczne]])</f>
        <v>2771.35</v>
      </c>
      <c r="I361" s="6">
        <f>I360+energia[[#This Row],[Łączna produkcja]]-energia[[#This Row],[Zapotrzebowanie]]</f>
        <v>328697.83900000033</v>
      </c>
      <c r="J361" t="b">
        <f>IF(energia[[#This Row],[Magazyn]]&lt;0,TRUE,FALSE)</f>
        <v>0</v>
      </c>
    </row>
    <row r="362" spans="1:10" x14ac:dyDescent="0.3">
      <c r="A362" s="1">
        <v>45398</v>
      </c>
      <c r="B362">
        <v>1</v>
      </c>
      <c r="C362">
        <v>3206.038</v>
      </c>
      <c r="D362">
        <v>0</v>
      </c>
      <c r="E362" t="b">
        <f>IF(energia[[#This Row],[Zrodla_wiatrowe]]&gt;C361,TRUE,FALSE)</f>
        <v>1</v>
      </c>
      <c r="F362">
        <f>IF(energia[[#This Row],[Czy wiatr rosło]],F361+1,1)</f>
        <v>8</v>
      </c>
      <c r="G362">
        <v>1497.0039999999999</v>
      </c>
      <c r="H362" s="6">
        <f>(energia[[#This Row],[Zrodla_wiatrowe]]+energia[[#This Row],[Zrodla_fotowoltaiczne]])</f>
        <v>3206.038</v>
      </c>
      <c r="I362" s="6">
        <f>I361+energia[[#This Row],[Łączna produkcja]]-energia[[#This Row],[Zapotrzebowanie]]</f>
        <v>330406.87300000031</v>
      </c>
      <c r="J362" t="b">
        <f>IF(energia[[#This Row],[Magazyn]]&lt;0,TRUE,FALSE)</f>
        <v>0</v>
      </c>
    </row>
    <row r="363" spans="1:10" x14ac:dyDescent="0.3">
      <c r="A363" s="1">
        <v>45398</v>
      </c>
      <c r="B363">
        <v>2</v>
      </c>
      <c r="C363">
        <v>3041.5749999999998</v>
      </c>
      <c r="D363">
        <v>0</v>
      </c>
      <c r="E363" t="b">
        <f>IF(energia[[#This Row],[Zrodla_wiatrowe]]&gt;C362,TRUE,FALSE)</f>
        <v>0</v>
      </c>
      <c r="F363">
        <f>IF(energia[[#This Row],[Czy wiatr rosło]],F362+1,1)</f>
        <v>1</v>
      </c>
      <c r="G363">
        <v>1283.4649999999999</v>
      </c>
      <c r="H363" s="6">
        <f>(energia[[#This Row],[Zrodla_wiatrowe]]+energia[[#This Row],[Zrodla_fotowoltaiczne]])</f>
        <v>3041.5749999999998</v>
      </c>
      <c r="I363" s="6">
        <f>I362+energia[[#This Row],[Łączna produkcja]]-energia[[#This Row],[Zapotrzebowanie]]</f>
        <v>332164.9830000003</v>
      </c>
      <c r="J363" t="b">
        <f>IF(energia[[#This Row],[Magazyn]]&lt;0,TRUE,FALSE)</f>
        <v>0</v>
      </c>
    </row>
    <row r="364" spans="1:10" x14ac:dyDescent="0.3">
      <c r="A364" s="1">
        <v>45398</v>
      </c>
      <c r="B364">
        <v>3</v>
      </c>
      <c r="C364">
        <v>3059.288</v>
      </c>
      <c r="D364">
        <v>0</v>
      </c>
      <c r="E364" t="b">
        <f>IF(energia[[#This Row],[Zrodla_wiatrowe]]&gt;C363,TRUE,FALSE)</f>
        <v>1</v>
      </c>
      <c r="F364">
        <f>IF(energia[[#This Row],[Czy wiatr rosło]],F363+1,1)</f>
        <v>2</v>
      </c>
      <c r="G364">
        <v>1200.4069999999999</v>
      </c>
      <c r="H364" s="6">
        <f>(energia[[#This Row],[Zrodla_wiatrowe]]+energia[[#This Row],[Zrodla_fotowoltaiczne]])</f>
        <v>3059.288</v>
      </c>
      <c r="I364" s="6">
        <f>I363+energia[[#This Row],[Łączna produkcja]]-energia[[#This Row],[Zapotrzebowanie]]</f>
        <v>334023.86400000029</v>
      </c>
      <c r="J364" t="b">
        <f>IF(energia[[#This Row],[Magazyn]]&lt;0,TRUE,FALSE)</f>
        <v>0</v>
      </c>
    </row>
    <row r="365" spans="1:10" x14ac:dyDescent="0.3">
      <c r="A365" s="1">
        <v>45398</v>
      </c>
      <c r="B365">
        <v>4</v>
      </c>
      <c r="C365">
        <v>3767.3</v>
      </c>
      <c r="D365">
        <v>0</v>
      </c>
      <c r="E365" t="b">
        <f>IF(energia[[#This Row],[Zrodla_wiatrowe]]&gt;C364,TRUE,FALSE)</f>
        <v>1</v>
      </c>
      <c r="F365">
        <f>IF(energia[[#This Row],[Czy wiatr rosło]],F364+1,1)</f>
        <v>3</v>
      </c>
      <c r="G365">
        <v>1202.8679999999999</v>
      </c>
      <c r="H365" s="6">
        <f>(energia[[#This Row],[Zrodla_wiatrowe]]+energia[[#This Row],[Zrodla_fotowoltaiczne]])</f>
        <v>3767.3</v>
      </c>
      <c r="I365" s="6">
        <f>I364+energia[[#This Row],[Łączna produkcja]]-energia[[#This Row],[Zapotrzebowanie]]</f>
        <v>336588.29600000026</v>
      </c>
      <c r="J365" t="b">
        <f>IF(energia[[#This Row],[Magazyn]]&lt;0,TRUE,FALSE)</f>
        <v>0</v>
      </c>
    </row>
    <row r="366" spans="1:10" x14ac:dyDescent="0.3">
      <c r="A366" s="1">
        <v>45398</v>
      </c>
      <c r="B366">
        <v>5</v>
      </c>
      <c r="C366">
        <v>4547.4629999999997</v>
      </c>
      <c r="D366">
        <v>0</v>
      </c>
      <c r="E366" t="b">
        <f>IF(energia[[#This Row],[Zrodla_wiatrowe]]&gt;C365,TRUE,FALSE)</f>
        <v>1</v>
      </c>
      <c r="F366">
        <f>IF(energia[[#This Row],[Czy wiatr rosło]],F365+1,1)</f>
        <v>4</v>
      </c>
      <c r="G366">
        <v>1803.2660000000001</v>
      </c>
      <c r="H366" s="6">
        <f>(energia[[#This Row],[Zrodla_wiatrowe]]+energia[[#This Row],[Zrodla_fotowoltaiczne]])</f>
        <v>4547.4629999999997</v>
      </c>
      <c r="I366" s="6">
        <f>I365+energia[[#This Row],[Łączna produkcja]]-energia[[#This Row],[Zapotrzebowanie]]</f>
        <v>339332.49300000025</v>
      </c>
      <c r="J366" t="b">
        <f>IF(energia[[#This Row],[Magazyn]]&lt;0,TRUE,FALSE)</f>
        <v>0</v>
      </c>
    </row>
    <row r="367" spans="1:10" x14ac:dyDescent="0.3">
      <c r="A367" s="1">
        <v>45398</v>
      </c>
      <c r="B367">
        <v>6</v>
      </c>
      <c r="C367">
        <v>4833.8500000000004</v>
      </c>
      <c r="D367">
        <v>54.274999999999999</v>
      </c>
      <c r="E367" t="b">
        <f>IF(energia[[#This Row],[Zrodla_wiatrowe]]&gt;C366,TRUE,FALSE)</f>
        <v>1</v>
      </c>
      <c r="F367">
        <f>IF(energia[[#This Row],[Czy wiatr rosło]],F366+1,1)</f>
        <v>5</v>
      </c>
      <c r="G367">
        <v>2986.2689999999998</v>
      </c>
      <c r="H367" s="6">
        <f>(energia[[#This Row],[Zrodla_wiatrowe]]+energia[[#This Row],[Zrodla_fotowoltaiczne]])</f>
        <v>4888.125</v>
      </c>
      <c r="I367" s="6">
        <f>I366+energia[[#This Row],[Łączna produkcja]]-energia[[#This Row],[Zapotrzebowanie]]</f>
        <v>341234.34900000028</v>
      </c>
      <c r="J367" t="b">
        <f>IF(energia[[#This Row],[Magazyn]]&lt;0,TRUE,FALSE)</f>
        <v>0</v>
      </c>
    </row>
    <row r="368" spans="1:10" x14ac:dyDescent="0.3">
      <c r="A368" s="1">
        <v>45398</v>
      </c>
      <c r="B368">
        <v>7</v>
      </c>
      <c r="C368">
        <v>5403.1750000000002</v>
      </c>
      <c r="D368">
        <v>325.81299999999999</v>
      </c>
      <c r="E368" t="b">
        <f>IF(energia[[#This Row],[Zrodla_wiatrowe]]&gt;C367,TRUE,FALSE)</f>
        <v>1</v>
      </c>
      <c r="F368">
        <f>IF(energia[[#This Row],[Czy wiatr rosło]],F367+1,1)</f>
        <v>6</v>
      </c>
      <c r="G368">
        <v>4068</v>
      </c>
      <c r="H368" s="6">
        <f>(energia[[#This Row],[Zrodla_wiatrowe]]+energia[[#This Row],[Zrodla_fotowoltaiczne]])</f>
        <v>5728.9880000000003</v>
      </c>
      <c r="I368" s="6">
        <f>I367+energia[[#This Row],[Łączna produkcja]]-energia[[#This Row],[Zapotrzebowanie]]</f>
        <v>342895.33700000029</v>
      </c>
      <c r="J368" t="b">
        <f>IF(energia[[#This Row],[Magazyn]]&lt;0,TRUE,FALSE)</f>
        <v>0</v>
      </c>
    </row>
    <row r="369" spans="1:10" x14ac:dyDescent="0.3">
      <c r="A369" s="1">
        <v>45398</v>
      </c>
      <c r="B369">
        <v>8</v>
      </c>
      <c r="C369">
        <v>5836.0249999999996</v>
      </c>
      <c r="D369">
        <v>1107.075</v>
      </c>
      <c r="E369" t="b">
        <f>IF(energia[[#This Row],[Zrodla_wiatrowe]]&gt;C368,TRUE,FALSE)</f>
        <v>1</v>
      </c>
      <c r="F369">
        <f>IF(energia[[#This Row],[Czy wiatr rosło]],F368+1,1)</f>
        <v>7</v>
      </c>
      <c r="G369">
        <v>6017.1790000000001</v>
      </c>
      <c r="H369" s="6">
        <f>(energia[[#This Row],[Zrodla_wiatrowe]]+energia[[#This Row],[Zrodla_fotowoltaiczne]])</f>
        <v>6943.0999999999995</v>
      </c>
      <c r="I369" s="6">
        <f>I368+energia[[#This Row],[Łączna produkcja]]-energia[[#This Row],[Zapotrzebowanie]]</f>
        <v>343821.25800000026</v>
      </c>
      <c r="J369" t="b">
        <f>IF(energia[[#This Row],[Magazyn]]&lt;0,TRUE,FALSE)</f>
        <v>0</v>
      </c>
    </row>
    <row r="370" spans="1:10" x14ac:dyDescent="0.3">
      <c r="A370" s="1">
        <v>45398</v>
      </c>
      <c r="B370">
        <v>9</v>
      </c>
      <c r="C370">
        <v>6202.0630000000001</v>
      </c>
      <c r="D370">
        <v>2157.1129999999998</v>
      </c>
      <c r="E370" t="b">
        <f>IF(energia[[#This Row],[Zrodla_wiatrowe]]&gt;C369,TRUE,FALSE)</f>
        <v>1</v>
      </c>
      <c r="F370">
        <f>IF(energia[[#This Row],[Czy wiatr rosło]],F369+1,1)</f>
        <v>8</v>
      </c>
      <c r="G370">
        <v>6739.2359999999999</v>
      </c>
      <c r="H370" s="6">
        <f>(energia[[#This Row],[Zrodla_wiatrowe]]+energia[[#This Row],[Zrodla_fotowoltaiczne]])</f>
        <v>8359.1759999999995</v>
      </c>
      <c r="I370" s="6">
        <f>I369+energia[[#This Row],[Łączna produkcja]]-energia[[#This Row],[Zapotrzebowanie]]</f>
        <v>345441.19800000027</v>
      </c>
      <c r="J370" t="b">
        <f>IF(energia[[#This Row],[Magazyn]]&lt;0,TRUE,FALSE)</f>
        <v>0</v>
      </c>
    </row>
    <row r="371" spans="1:10" x14ac:dyDescent="0.3">
      <c r="A371" s="1">
        <v>45398</v>
      </c>
      <c r="B371">
        <v>10</v>
      </c>
      <c r="C371">
        <v>6557.2129999999997</v>
      </c>
      <c r="D371">
        <v>3077.663</v>
      </c>
      <c r="E371" t="b">
        <f>IF(energia[[#This Row],[Zrodla_wiatrowe]]&gt;C370,TRUE,FALSE)</f>
        <v>1</v>
      </c>
      <c r="F371">
        <f>IF(energia[[#This Row],[Czy wiatr rosło]],F370+1,1)</f>
        <v>9</v>
      </c>
      <c r="G371">
        <v>7521.7910000000002</v>
      </c>
      <c r="H371" s="6">
        <f>(energia[[#This Row],[Zrodla_wiatrowe]]+energia[[#This Row],[Zrodla_fotowoltaiczne]])</f>
        <v>9634.8760000000002</v>
      </c>
      <c r="I371" s="6">
        <f>I370+energia[[#This Row],[Łączna produkcja]]-energia[[#This Row],[Zapotrzebowanie]]</f>
        <v>347554.28300000023</v>
      </c>
      <c r="J371" t="b">
        <f>IF(energia[[#This Row],[Magazyn]]&lt;0,TRUE,FALSE)</f>
        <v>0</v>
      </c>
    </row>
    <row r="372" spans="1:10" x14ac:dyDescent="0.3">
      <c r="A372" s="1">
        <v>45398</v>
      </c>
      <c r="B372">
        <v>11</v>
      </c>
      <c r="C372">
        <v>6800.7629999999999</v>
      </c>
      <c r="D372">
        <v>4139.2</v>
      </c>
      <c r="E372" t="b">
        <f>IF(energia[[#This Row],[Zrodla_wiatrowe]]&gt;C371,TRUE,FALSE)</f>
        <v>1</v>
      </c>
      <c r="F372">
        <f>IF(energia[[#This Row],[Czy wiatr rosło]],F371+1,1)</f>
        <v>10</v>
      </c>
      <c r="G372">
        <v>7500.6570000000002</v>
      </c>
      <c r="H372" s="6">
        <f>(energia[[#This Row],[Zrodla_wiatrowe]]+energia[[#This Row],[Zrodla_fotowoltaiczne]])</f>
        <v>10939.963</v>
      </c>
      <c r="I372" s="6">
        <f>I371+energia[[#This Row],[Łączna produkcja]]-energia[[#This Row],[Zapotrzebowanie]]</f>
        <v>350993.58900000021</v>
      </c>
      <c r="J372" t="b">
        <f>IF(energia[[#This Row],[Magazyn]]&lt;0,TRUE,FALSE)</f>
        <v>0</v>
      </c>
    </row>
    <row r="373" spans="1:10" x14ac:dyDescent="0.3">
      <c r="A373" s="1">
        <v>45398</v>
      </c>
      <c r="B373">
        <v>12</v>
      </c>
      <c r="C373">
        <v>6714.5</v>
      </c>
      <c r="D373">
        <v>4771.8879999999999</v>
      </c>
      <c r="E373" t="b">
        <f>IF(energia[[#This Row],[Zrodla_wiatrowe]]&gt;C372,TRUE,FALSE)</f>
        <v>0</v>
      </c>
      <c r="F373">
        <f>IF(energia[[#This Row],[Czy wiatr rosło]],F372+1,1)</f>
        <v>1</v>
      </c>
      <c r="G373">
        <v>7625.3050000000003</v>
      </c>
      <c r="H373" s="6">
        <f>(energia[[#This Row],[Zrodla_wiatrowe]]+energia[[#This Row],[Zrodla_fotowoltaiczne]])</f>
        <v>11486.387999999999</v>
      </c>
      <c r="I373" s="6">
        <f>I372+energia[[#This Row],[Łączna produkcja]]-energia[[#This Row],[Zapotrzebowanie]]</f>
        <v>354854.6720000002</v>
      </c>
      <c r="J373" t="b">
        <f>IF(energia[[#This Row],[Magazyn]]&lt;0,TRUE,FALSE)</f>
        <v>0</v>
      </c>
    </row>
    <row r="374" spans="1:10" x14ac:dyDescent="0.3">
      <c r="A374" s="1">
        <v>45398</v>
      </c>
      <c r="B374">
        <v>13</v>
      </c>
      <c r="C374">
        <v>6545.4380000000001</v>
      </c>
      <c r="D374">
        <v>5342.2749999999996</v>
      </c>
      <c r="E374" t="b">
        <f>IF(energia[[#This Row],[Zrodla_wiatrowe]]&gt;C373,TRUE,FALSE)</f>
        <v>0</v>
      </c>
      <c r="F374">
        <f>IF(energia[[#This Row],[Czy wiatr rosło]],F373+1,1)</f>
        <v>1</v>
      </c>
      <c r="G374">
        <v>7943.9949999999999</v>
      </c>
      <c r="H374" s="6">
        <f>(energia[[#This Row],[Zrodla_wiatrowe]]+energia[[#This Row],[Zrodla_fotowoltaiczne]])</f>
        <v>11887.713</v>
      </c>
      <c r="I374" s="6">
        <f>I373+energia[[#This Row],[Łączna produkcja]]-energia[[#This Row],[Zapotrzebowanie]]</f>
        <v>358798.39000000019</v>
      </c>
      <c r="J374" t="b">
        <f>IF(energia[[#This Row],[Magazyn]]&lt;0,TRUE,FALSE)</f>
        <v>0</v>
      </c>
    </row>
    <row r="375" spans="1:10" x14ac:dyDescent="0.3">
      <c r="A375" s="1">
        <v>45398</v>
      </c>
      <c r="B375">
        <v>14</v>
      </c>
      <c r="C375">
        <v>6455.5749999999998</v>
      </c>
      <c r="D375">
        <v>5622.8379999999997</v>
      </c>
      <c r="E375" t="b">
        <f>IF(energia[[#This Row],[Zrodla_wiatrowe]]&gt;C374,TRUE,FALSE)</f>
        <v>0</v>
      </c>
      <c r="F375">
        <f>IF(energia[[#This Row],[Czy wiatr rosło]],F374+1,1)</f>
        <v>1</v>
      </c>
      <c r="G375">
        <v>7505.0029999999997</v>
      </c>
      <c r="H375" s="6">
        <f>(energia[[#This Row],[Zrodla_wiatrowe]]+energia[[#This Row],[Zrodla_fotowoltaiczne]])</f>
        <v>12078.413</v>
      </c>
      <c r="I375" s="6">
        <f>I374+energia[[#This Row],[Łączna produkcja]]-energia[[#This Row],[Zapotrzebowanie]]</f>
        <v>363371.80000000016</v>
      </c>
      <c r="J375" t="b">
        <f>IF(energia[[#This Row],[Magazyn]]&lt;0,TRUE,FALSE)</f>
        <v>0</v>
      </c>
    </row>
    <row r="376" spans="1:10" x14ac:dyDescent="0.3">
      <c r="A376" s="1">
        <v>45398</v>
      </c>
      <c r="B376">
        <v>15</v>
      </c>
      <c r="C376">
        <v>6052.4250000000002</v>
      </c>
      <c r="D376">
        <v>5443.7629999999999</v>
      </c>
      <c r="E376" t="b">
        <f>IF(energia[[#This Row],[Zrodla_wiatrowe]]&gt;C375,TRUE,FALSE)</f>
        <v>0</v>
      </c>
      <c r="F376">
        <f>IF(energia[[#This Row],[Czy wiatr rosło]],F375+1,1)</f>
        <v>1</v>
      </c>
      <c r="G376">
        <v>7736.9170000000004</v>
      </c>
      <c r="H376" s="6">
        <f>(energia[[#This Row],[Zrodla_wiatrowe]]+energia[[#This Row],[Zrodla_fotowoltaiczne]])</f>
        <v>11496.188</v>
      </c>
      <c r="I376" s="6">
        <f>I375+energia[[#This Row],[Łączna produkcja]]-energia[[#This Row],[Zapotrzebowanie]]</f>
        <v>367131.07100000017</v>
      </c>
      <c r="J376" t="b">
        <f>IF(energia[[#This Row],[Magazyn]]&lt;0,TRUE,FALSE)</f>
        <v>0</v>
      </c>
    </row>
    <row r="377" spans="1:10" x14ac:dyDescent="0.3">
      <c r="A377" s="1">
        <v>45398</v>
      </c>
      <c r="B377">
        <v>16</v>
      </c>
      <c r="C377">
        <v>5514.3249999999998</v>
      </c>
      <c r="D377">
        <v>4813.0129999999999</v>
      </c>
      <c r="E377" t="b">
        <f>IF(energia[[#This Row],[Zrodla_wiatrowe]]&gt;C376,TRUE,FALSE)</f>
        <v>0</v>
      </c>
      <c r="F377">
        <f>IF(energia[[#This Row],[Czy wiatr rosło]],F376+1,1)</f>
        <v>1</v>
      </c>
      <c r="G377">
        <v>7792.027</v>
      </c>
      <c r="H377" s="6">
        <f>(energia[[#This Row],[Zrodla_wiatrowe]]+energia[[#This Row],[Zrodla_fotowoltaiczne]])</f>
        <v>10327.338</v>
      </c>
      <c r="I377" s="6">
        <f>I376+energia[[#This Row],[Łączna produkcja]]-energia[[#This Row],[Zapotrzebowanie]]</f>
        <v>369666.38200000016</v>
      </c>
      <c r="J377" t="b">
        <f>IF(energia[[#This Row],[Magazyn]]&lt;0,TRUE,FALSE)</f>
        <v>0</v>
      </c>
    </row>
    <row r="378" spans="1:10" x14ac:dyDescent="0.3">
      <c r="A378" s="1">
        <v>45398</v>
      </c>
      <c r="B378">
        <v>17</v>
      </c>
      <c r="C378">
        <v>4683.6379999999999</v>
      </c>
      <c r="D378">
        <v>3809.9879999999998</v>
      </c>
      <c r="E378" t="b">
        <f>IF(energia[[#This Row],[Zrodla_wiatrowe]]&gt;C377,TRUE,FALSE)</f>
        <v>0</v>
      </c>
      <c r="F378">
        <f>IF(energia[[#This Row],[Czy wiatr rosło]],F377+1,1)</f>
        <v>1</v>
      </c>
      <c r="G378">
        <v>7518.915</v>
      </c>
      <c r="H378" s="6">
        <f>(energia[[#This Row],[Zrodla_wiatrowe]]+energia[[#This Row],[Zrodla_fotowoltaiczne]])</f>
        <v>8493.6260000000002</v>
      </c>
      <c r="I378" s="6">
        <f>I377+energia[[#This Row],[Łączna produkcja]]-energia[[#This Row],[Zapotrzebowanie]]</f>
        <v>370641.09300000017</v>
      </c>
      <c r="J378" t="b">
        <f>IF(energia[[#This Row],[Magazyn]]&lt;0,TRUE,FALSE)</f>
        <v>0</v>
      </c>
    </row>
    <row r="379" spans="1:10" x14ac:dyDescent="0.3">
      <c r="A379" s="1">
        <v>45398</v>
      </c>
      <c r="B379">
        <v>18</v>
      </c>
      <c r="C379">
        <v>4193.0249999999996</v>
      </c>
      <c r="D379">
        <v>2631.1880000000001</v>
      </c>
      <c r="E379" t="b">
        <f>IF(energia[[#This Row],[Zrodla_wiatrowe]]&gt;C378,TRUE,FALSE)</f>
        <v>0</v>
      </c>
      <c r="F379">
        <f>IF(energia[[#This Row],[Czy wiatr rosło]],F378+1,1)</f>
        <v>1</v>
      </c>
      <c r="G379">
        <v>6903.6610000000001</v>
      </c>
      <c r="H379" s="6">
        <f>(energia[[#This Row],[Zrodla_wiatrowe]]+energia[[#This Row],[Zrodla_fotowoltaiczne]])</f>
        <v>6824.2129999999997</v>
      </c>
      <c r="I379" s="6">
        <f>I378+energia[[#This Row],[Łączna produkcja]]-energia[[#This Row],[Zapotrzebowanie]]</f>
        <v>370561.64500000014</v>
      </c>
      <c r="J379" t="b">
        <f>IF(energia[[#This Row],[Magazyn]]&lt;0,TRUE,FALSE)</f>
        <v>0</v>
      </c>
    </row>
    <row r="380" spans="1:10" x14ac:dyDescent="0.3">
      <c r="A380" s="1">
        <v>45398</v>
      </c>
      <c r="B380">
        <v>19</v>
      </c>
      <c r="C380">
        <v>3605.6</v>
      </c>
      <c r="D380">
        <v>1189.2750000000001</v>
      </c>
      <c r="E380" t="b">
        <f>IF(energia[[#This Row],[Zrodla_wiatrowe]]&gt;C379,TRUE,FALSE)</f>
        <v>0</v>
      </c>
      <c r="F380">
        <f>IF(energia[[#This Row],[Czy wiatr rosło]],F379+1,1)</f>
        <v>1</v>
      </c>
      <c r="G380">
        <v>6169.3770000000004</v>
      </c>
      <c r="H380" s="6">
        <f>(energia[[#This Row],[Zrodla_wiatrowe]]+energia[[#This Row],[Zrodla_fotowoltaiczne]])</f>
        <v>4794.875</v>
      </c>
      <c r="I380" s="6">
        <f>I379+energia[[#This Row],[Łączna produkcja]]-energia[[#This Row],[Zapotrzebowanie]]</f>
        <v>369187.14300000016</v>
      </c>
      <c r="J380" t="b">
        <f>IF(energia[[#This Row],[Magazyn]]&lt;0,TRUE,FALSE)</f>
        <v>0</v>
      </c>
    </row>
    <row r="381" spans="1:10" x14ac:dyDescent="0.3">
      <c r="A381" s="1">
        <v>45398</v>
      </c>
      <c r="B381">
        <v>20</v>
      </c>
      <c r="C381">
        <v>3165.8130000000001</v>
      </c>
      <c r="D381">
        <v>346.08800000000002</v>
      </c>
      <c r="E381" t="b">
        <f>IF(energia[[#This Row],[Zrodla_wiatrowe]]&gt;C380,TRUE,FALSE)</f>
        <v>0</v>
      </c>
      <c r="F381">
        <f>IF(energia[[#This Row],[Czy wiatr rosło]],F380+1,1)</f>
        <v>1</v>
      </c>
      <c r="G381">
        <v>6002.3549999999996</v>
      </c>
      <c r="H381" s="6">
        <f>(energia[[#This Row],[Zrodla_wiatrowe]]+energia[[#This Row],[Zrodla_fotowoltaiczne]])</f>
        <v>3511.9010000000003</v>
      </c>
      <c r="I381" s="6">
        <f>I380+energia[[#This Row],[Łączna produkcja]]-energia[[#This Row],[Zapotrzebowanie]]</f>
        <v>366696.68900000019</v>
      </c>
      <c r="J381" t="b">
        <f>IF(energia[[#This Row],[Magazyn]]&lt;0,TRUE,FALSE)</f>
        <v>0</v>
      </c>
    </row>
    <row r="382" spans="1:10" x14ac:dyDescent="0.3">
      <c r="A382" s="1">
        <v>45398</v>
      </c>
      <c r="B382">
        <v>21</v>
      </c>
      <c r="C382">
        <v>3181.3629999999998</v>
      </c>
      <c r="D382">
        <v>30.324999999999999</v>
      </c>
      <c r="E382" t="b">
        <f>IF(energia[[#This Row],[Zrodla_wiatrowe]]&gt;C381,TRUE,FALSE)</f>
        <v>1</v>
      </c>
      <c r="F382">
        <f>IF(energia[[#This Row],[Czy wiatr rosło]],F381+1,1)</f>
        <v>2</v>
      </c>
      <c r="G382">
        <v>4663.951</v>
      </c>
      <c r="H382" s="6">
        <f>(energia[[#This Row],[Zrodla_wiatrowe]]+energia[[#This Row],[Zrodla_fotowoltaiczne]])</f>
        <v>3211.6879999999996</v>
      </c>
      <c r="I382" s="6">
        <f>I381+energia[[#This Row],[Łączna produkcja]]-energia[[#This Row],[Zapotrzebowanie]]</f>
        <v>365244.42600000021</v>
      </c>
      <c r="J382" t="b">
        <f>IF(energia[[#This Row],[Magazyn]]&lt;0,TRUE,FALSE)</f>
        <v>0</v>
      </c>
    </row>
    <row r="383" spans="1:10" x14ac:dyDescent="0.3">
      <c r="A383" s="1">
        <v>45398</v>
      </c>
      <c r="B383">
        <v>22</v>
      </c>
      <c r="C383">
        <v>3564.0129999999999</v>
      </c>
      <c r="D383">
        <v>0</v>
      </c>
      <c r="E383" t="b">
        <f>IF(energia[[#This Row],[Zrodla_wiatrowe]]&gt;C382,TRUE,FALSE)</f>
        <v>1</v>
      </c>
      <c r="F383">
        <f>IF(energia[[#This Row],[Czy wiatr rosło]],F382+1,1)</f>
        <v>3</v>
      </c>
      <c r="G383">
        <v>4501.7790000000005</v>
      </c>
      <c r="H383" s="6">
        <f>(energia[[#This Row],[Zrodla_wiatrowe]]+energia[[#This Row],[Zrodla_fotowoltaiczne]])</f>
        <v>3564.0129999999999</v>
      </c>
      <c r="I383" s="6">
        <f>I382+energia[[#This Row],[Łączna produkcja]]-energia[[#This Row],[Zapotrzebowanie]]</f>
        <v>364306.66000000021</v>
      </c>
      <c r="J383" t="b">
        <f>IF(energia[[#This Row],[Magazyn]]&lt;0,TRUE,FALSE)</f>
        <v>0</v>
      </c>
    </row>
    <row r="384" spans="1:10" x14ac:dyDescent="0.3">
      <c r="A384" s="1">
        <v>45398</v>
      </c>
      <c r="B384">
        <v>23</v>
      </c>
      <c r="C384">
        <v>3475.4250000000002</v>
      </c>
      <c r="D384">
        <v>0</v>
      </c>
      <c r="E384" t="b">
        <f>IF(energia[[#This Row],[Zrodla_wiatrowe]]&gt;C383,TRUE,FALSE)</f>
        <v>0</v>
      </c>
      <c r="F384">
        <f>IF(energia[[#This Row],[Czy wiatr rosło]],F383+1,1)</f>
        <v>1</v>
      </c>
      <c r="G384">
        <v>2788.9119999999998</v>
      </c>
      <c r="H384" s="6">
        <f>(energia[[#This Row],[Zrodla_wiatrowe]]+energia[[#This Row],[Zrodla_fotowoltaiczne]])</f>
        <v>3475.4250000000002</v>
      </c>
      <c r="I384" s="6">
        <f>I383+energia[[#This Row],[Łączna produkcja]]-energia[[#This Row],[Zapotrzebowanie]]</f>
        <v>364993.17300000018</v>
      </c>
      <c r="J384" t="b">
        <f>IF(energia[[#This Row],[Magazyn]]&lt;0,TRUE,FALSE)</f>
        <v>0</v>
      </c>
    </row>
    <row r="385" spans="1:10" x14ac:dyDescent="0.3">
      <c r="A385" s="1">
        <v>45398</v>
      </c>
      <c r="B385">
        <v>24</v>
      </c>
      <c r="C385">
        <v>3159.6379999999999</v>
      </c>
      <c r="D385">
        <v>0</v>
      </c>
      <c r="E385" t="b">
        <f>IF(energia[[#This Row],[Zrodla_wiatrowe]]&gt;C384,TRUE,FALSE)</f>
        <v>0</v>
      </c>
      <c r="F385">
        <f>IF(energia[[#This Row],[Czy wiatr rosło]],F384+1,1)</f>
        <v>1</v>
      </c>
      <c r="G385">
        <v>1637.453</v>
      </c>
      <c r="H385" s="6">
        <f>(energia[[#This Row],[Zrodla_wiatrowe]]+energia[[#This Row],[Zrodla_fotowoltaiczne]])</f>
        <v>3159.6379999999999</v>
      </c>
      <c r="I385" s="6">
        <f>I384+energia[[#This Row],[Łączna produkcja]]-energia[[#This Row],[Zapotrzebowanie]]</f>
        <v>366515.35800000018</v>
      </c>
      <c r="J385" t="b">
        <f>IF(energia[[#This Row],[Magazyn]]&lt;0,TRUE,FALSE)</f>
        <v>0</v>
      </c>
    </row>
    <row r="386" spans="1:10" x14ac:dyDescent="0.3">
      <c r="A386" s="1">
        <v>45399</v>
      </c>
      <c r="B386">
        <v>1</v>
      </c>
      <c r="C386">
        <v>2878.875</v>
      </c>
      <c r="D386">
        <v>0</v>
      </c>
      <c r="E386" t="b">
        <f>IF(energia[[#This Row],[Zrodla_wiatrowe]]&gt;C385,TRUE,FALSE)</f>
        <v>0</v>
      </c>
      <c r="F386">
        <f>IF(energia[[#This Row],[Czy wiatr rosło]],F385+1,1)</f>
        <v>1</v>
      </c>
      <c r="G386">
        <v>1461.3610000000001</v>
      </c>
      <c r="H386" s="6">
        <f>(energia[[#This Row],[Zrodla_wiatrowe]]+energia[[#This Row],[Zrodla_fotowoltaiczne]])</f>
        <v>2878.875</v>
      </c>
      <c r="I386" s="6">
        <f>I385+energia[[#This Row],[Łączna produkcja]]-energia[[#This Row],[Zapotrzebowanie]]</f>
        <v>367932.87200000021</v>
      </c>
      <c r="J386" t="b">
        <f>IF(energia[[#This Row],[Magazyn]]&lt;0,TRUE,FALSE)</f>
        <v>0</v>
      </c>
    </row>
    <row r="387" spans="1:10" x14ac:dyDescent="0.3">
      <c r="A387" s="1">
        <v>45399</v>
      </c>
      <c r="B387">
        <v>2</v>
      </c>
      <c r="C387">
        <v>2527.9749999999999</v>
      </c>
      <c r="D387">
        <v>0</v>
      </c>
      <c r="E387" t="b">
        <f>IF(energia[[#This Row],[Zrodla_wiatrowe]]&gt;C386,TRUE,FALSE)</f>
        <v>0</v>
      </c>
      <c r="F387">
        <f>IF(energia[[#This Row],[Czy wiatr rosło]],F386+1,1)</f>
        <v>1</v>
      </c>
      <c r="G387">
        <v>1252.9069999999999</v>
      </c>
      <c r="H387" s="6">
        <f>(energia[[#This Row],[Zrodla_wiatrowe]]+energia[[#This Row],[Zrodla_fotowoltaiczne]])</f>
        <v>2527.9749999999999</v>
      </c>
      <c r="I387" s="6">
        <f>I386+energia[[#This Row],[Łączna produkcja]]-energia[[#This Row],[Zapotrzebowanie]]</f>
        <v>369207.94000000018</v>
      </c>
      <c r="J387" t="b">
        <f>IF(energia[[#This Row],[Magazyn]]&lt;0,TRUE,FALSE)</f>
        <v>0</v>
      </c>
    </row>
    <row r="388" spans="1:10" x14ac:dyDescent="0.3">
      <c r="A388" s="1">
        <v>45399</v>
      </c>
      <c r="B388">
        <v>3</v>
      </c>
      <c r="C388">
        <v>2261.4</v>
      </c>
      <c r="D388">
        <v>0</v>
      </c>
      <c r="E388" t="b">
        <f>IF(energia[[#This Row],[Zrodla_wiatrowe]]&gt;C387,TRUE,FALSE)</f>
        <v>0</v>
      </c>
      <c r="F388">
        <f>IF(energia[[#This Row],[Czy wiatr rosło]],F387+1,1)</f>
        <v>1</v>
      </c>
      <c r="G388">
        <v>1171.826</v>
      </c>
      <c r="H388" s="6">
        <f>(energia[[#This Row],[Zrodla_wiatrowe]]+energia[[#This Row],[Zrodla_fotowoltaiczne]])</f>
        <v>2261.4</v>
      </c>
      <c r="I388" s="6">
        <f>I387+energia[[#This Row],[Łączna produkcja]]-energia[[#This Row],[Zapotrzebowanie]]</f>
        <v>370297.5140000002</v>
      </c>
      <c r="J388" t="b">
        <f>IF(energia[[#This Row],[Magazyn]]&lt;0,TRUE,FALSE)</f>
        <v>0</v>
      </c>
    </row>
    <row r="389" spans="1:10" x14ac:dyDescent="0.3">
      <c r="A389" s="1">
        <v>45399</v>
      </c>
      <c r="B389">
        <v>4</v>
      </c>
      <c r="C389">
        <v>2010.65</v>
      </c>
      <c r="D389">
        <v>0</v>
      </c>
      <c r="E389" t="b">
        <f>IF(energia[[#This Row],[Zrodla_wiatrowe]]&gt;C388,TRUE,FALSE)</f>
        <v>0</v>
      </c>
      <c r="F389">
        <f>IF(energia[[#This Row],[Czy wiatr rosło]],F388+1,1)</f>
        <v>1</v>
      </c>
      <c r="G389">
        <v>1174.2280000000001</v>
      </c>
      <c r="H389" s="6">
        <f>(energia[[#This Row],[Zrodla_wiatrowe]]+energia[[#This Row],[Zrodla_fotowoltaiczne]])</f>
        <v>2010.65</v>
      </c>
      <c r="I389" s="6">
        <f>I388+energia[[#This Row],[Łączna produkcja]]-energia[[#This Row],[Zapotrzebowanie]]</f>
        <v>371133.93600000022</v>
      </c>
      <c r="J389" t="b">
        <f>IF(energia[[#This Row],[Magazyn]]&lt;0,TRUE,FALSE)</f>
        <v>0</v>
      </c>
    </row>
    <row r="390" spans="1:10" x14ac:dyDescent="0.3">
      <c r="A390" s="1">
        <v>45399</v>
      </c>
      <c r="B390">
        <v>5</v>
      </c>
      <c r="C390">
        <v>2118.9250000000002</v>
      </c>
      <c r="D390">
        <v>0</v>
      </c>
      <c r="E390" t="b">
        <f>IF(energia[[#This Row],[Zrodla_wiatrowe]]&gt;C389,TRUE,FALSE)</f>
        <v>1</v>
      </c>
      <c r="F390">
        <f>IF(energia[[#This Row],[Czy wiatr rosło]],F389+1,1)</f>
        <v>2</v>
      </c>
      <c r="G390">
        <v>1760.3309999999999</v>
      </c>
      <c r="H390" s="6">
        <f>(energia[[#This Row],[Zrodla_wiatrowe]]+energia[[#This Row],[Zrodla_fotowoltaiczne]])</f>
        <v>2118.9250000000002</v>
      </c>
      <c r="I390" s="6">
        <f>I389+energia[[#This Row],[Łączna produkcja]]-energia[[#This Row],[Zapotrzebowanie]]</f>
        <v>371492.5300000002</v>
      </c>
      <c r="J390" t="b">
        <f>IF(energia[[#This Row],[Magazyn]]&lt;0,TRUE,FALSE)</f>
        <v>0</v>
      </c>
    </row>
    <row r="391" spans="1:10" x14ac:dyDescent="0.3">
      <c r="A391" s="1">
        <v>45399</v>
      </c>
      <c r="B391">
        <v>6</v>
      </c>
      <c r="C391">
        <v>1950.7750000000001</v>
      </c>
      <c r="D391">
        <v>93.263000000000005</v>
      </c>
      <c r="E391" t="b">
        <f>IF(energia[[#This Row],[Zrodla_wiatrowe]]&gt;C390,TRUE,FALSE)</f>
        <v>0</v>
      </c>
      <c r="F391">
        <f>IF(energia[[#This Row],[Czy wiatr rosło]],F390+1,1)</f>
        <v>1</v>
      </c>
      <c r="G391">
        <v>2915.1669999999999</v>
      </c>
      <c r="H391" s="6">
        <f>(energia[[#This Row],[Zrodla_wiatrowe]]+energia[[#This Row],[Zrodla_fotowoltaiczne]])</f>
        <v>2044.038</v>
      </c>
      <c r="I391" s="6">
        <f>I390+energia[[#This Row],[Łączna produkcja]]-energia[[#This Row],[Zapotrzebowanie]]</f>
        <v>370621.40100000019</v>
      </c>
      <c r="J391" t="b">
        <f>IF(energia[[#This Row],[Magazyn]]&lt;0,TRUE,FALSE)</f>
        <v>0</v>
      </c>
    </row>
    <row r="392" spans="1:10" x14ac:dyDescent="0.3">
      <c r="A392" s="1">
        <v>45399</v>
      </c>
      <c r="B392">
        <v>7</v>
      </c>
      <c r="C392">
        <v>1878.15</v>
      </c>
      <c r="D392">
        <v>431.625</v>
      </c>
      <c r="E392" t="b">
        <f>IF(energia[[#This Row],[Zrodla_wiatrowe]]&gt;C391,TRUE,FALSE)</f>
        <v>0</v>
      </c>
      <c r="F392">
        <f>IF(energia[[#This Row],[Czy wiatr rosło]],F391+1,1)</f>
        <v>1</v>
      </c>
      <c r="G392">
        <v>3971.143</v>
      </c>
      <c r="H392" s="6">
        <f>(energia[[#This Row],[Zrodla_wiatrowe]]+energia[[#This Row],[Zrodla_fotowoltaiczne]])</f>
        <v>2309.7750000000001</v>
      </c>
      <c r="I392" s="6">
        <f>I391+energia[[#This Row],[Łączna produkcja]]-energia[[#This Row],[Zapotrzebowanie]]</f>
        <v>368960.03300000023</v>
      </c>
      <c r="J392" t="b">
        <f>IF(energia[[#This Row],[Magazyn]]&lt;0,TRUE,FALSE)</f>
        <v>0</v>
      </c>
    </row>
    <row r="393" spans="1:10" x14ac:dyDescent="0.3">
      <c r="A393" s="1">
        <v>45399</v>
      </c>
      <c r="B393">
        <v>8</v>
      </c>
      <c r="C393">
        <v>1701.65</v>
      </c>
      <c r="D393">
        <v>1212.6379999999999</v>
      </c>
      <c r="E393" t="b">
        <f>IF(energia[[#This Row],[Zrodla_wiatrowe]]&gt;C392,TRUE,FALSE)</f>
        <v>0</v>
      </c>
      <c r="F393">
        <f>IF(energia[[#This Row],[Czy wiatr rosło]],F392+1,1)</f>
        <v>1</v>
      </c>
      <c r="G393">
        <v>5873.9129999999996</v>
      </c>
      <c r="H393" s="6">
        <f>(energia[[#This Row],[Zrodla_wiatrowe]]+energia[[#This Row],[Zrodla_fotowoltaiczne]])</f>
        <v>2914.288</v>
      </c>
      <c r="I393" s="6">
        <f>I392+energia[[#This Row],[Łączna produkcja]]-energia[[#This Row],[Zapotrzebowanie]]</f>
        <v>366000.40800000023</v>
      </c>
      <c r="J393" t="b">
        <f>IF(energia[[#This Row],[Magazyn]]&lt;0,TRUE,FALSE)</f>
        <v>0</v>
      </c>
    </row>
    <row r="394" spans="1:10" x14ac:dyDescent="0.3">
      <c r="A394" s="1">
        <v>45399</v>
      </c>
      <c r="B394">
        <v>9</v>
      </c>
      <c r="C394">
        <v>1884</v>
      </c>
      <c r="D394">
        <v>2365.538</v>
      </c>
      <c r="E394" t="b">
        <f>IF(energia[[#This Row],[Zrodla_wiatrowe]]&gt;C393,TRUE,FALSE)</f>
        <v>1</v>
      </c>
      <c r="F394">
        <f>IF(energia[[#This Row],[Czy wiatr rosło]],F393+1,1)</f>
        <v>2</v>
      </c>
      <c r="G394">
        <v>6578.7780000000002</v>
      </c>
      <c r="H394" s="6">
        <f>(energia[[#This Row],[Zrodla_wiatrowe]]+energia[[#This Row],[Zrodla_fotowoltaiczne]])</f>
        <v>4249.5380000000005</v>
      </c>
      <c r="I394" s="6">
        <f>I393+energia[[#This Row],[Łączna produkcja]]-energia[[#This Row],[Zapotrzebowanie]]</f>
        <v>363671.16800000024</v>
      </c>
      <c r="J394" t="b">
        <f>IF(energia[[#This Row],[Magazyn]]&lt;0,TRUE,FALSE)</f>
        <v>0</v>
      </c>
    </row>
    <row r="395" spans="1:10" x14ac:dyDescent="0.3">
      <c r="A395" s="1">
        <v>45399</v>
      </c>
      <c r="B395">
        <v>10</v>
      </c>
      <c r="C395">
        <v>1902.7629999999999</v>
      </c>
      <c r="D395">
        <v>3505.5129999999999</v>
      </c>
      <c r="E395" t="b">
        <f>IF(energia[[#This Row],[Zrodla_wiatrowe]]&gt;C394,TRUE,FALSE)</f>
        <v>1</v>
      </c>
      <c r="F395">
        <f>IF(energia[[#This Row],[Czy wiatr rosło]],F394+1,1)</f>
        <v>3</v>
      </c>
      <c r="G395">
        <v>7342.701</v>
      </c>
      <c r="H395" s="6">
        <f>(energia[[#This Row],[Zrodla_wiatrowe]]+energia[[#This Row],[Zrodla_fotowoltaiczne]])</f>
        <v>5408.2759999999998</v>
      </c>
      <c r="I395" s="6">
        <f>I394+energia[[#This Row],[Łączna produkcja]]-energia[[#This Row],[Zapotrzebowanie]]</f>
        <v>361736.74300000025</v>
      </c>
      <c r="J395" t="b">
        <f>IF(energia[[#This Row],[Magazyn]]&lt;0,TRUE,FALSE)</f>
        <v>0</v>
      </c>
    </row>
    <row r="396" spans="1:10" x14ac:dyDescent="0.3">
      <c r="A396" s="1">
        <v>45399</v>
      </c>
      <c r="B396">
        <v>11</v>
      </c>
      <c r="C396">
        <v>1701.713</v>
      </c>
      <c r="D396">
        <v>4333.3999999999996</v>
      </c>
      <c r="E396" t="b">
        <f>IF(energia[[#This Row],[Zrodla_wiatrowe]]&gt;C395,TRUE,FALSE)</f>
        <v>0</v>
      </c>
      <c r="F396">
        <f>IF(energia[[#This Row],[Czy wiatr rosło]],F395+1,1)</f>
        <v>1</v>
      </c>
      <c r="G396">
        <v>7322.07</v>
      </c>
      <c r="H396" s="6">
        <f>(energia[[#This Row],[Zrodla_wiatrowe]]+energia[[#This Row],[Zrodla_fotowoltaiczne]])</f>
        <v>6035.1129999999994</v>
      </c>
      <c r="I396" s="6">
        <f>I395+energia[[#This Row],[Łączna produkcja]]-energia[[#This Row],[Zapotrzebowanie]]</f>
        <v>360449.78600000025</v>
      </c>
      <c r="J396" t="b">
        <f>IF(energia[[#This Row],[Magazyn]]&lt;0,TRUE,FALSE)</f>
        <v>0</v>
      </c>
    </row>
    <row r="397" spans="1:10" x14ac:dyDescent="0.3">
      <c r="A397" s="1">
        <v>45399</v>
      </c>
      <c r="B397">
        <v>12</v>
      </c>
      <c r="C397">
        <v>1613.3</v>
      </c>
      <c r="D397">
        <v>4681.125</v>
      </c>
      <c r="E397" t="b">
        <f>IF(energia[[#This Row],[Zrodla_wiatrowe]]&gt;C396,TRUE,FALSE)</f>
        <v>0</v>
      </c>
      <c r="F397">
        <f>IF(energia[[#This Row],[Czy wiatr rosło]],F396+1,1)</f>
        <v>1</v>
      </c>
      <c r="G397">
        <v>7443.75</v>
      </c>
      <c r="H397" s="6">
        <f>(energia[[#This Row],[Zrodla_wiatrowe]]+energia[[#This Row],[Zrodla_fotowoltaiczne]])</f>
        <v>6294.4250000000002</v>
      </c>
      <c r="I397" s="6">
        <f>I396+energia[[#This Row],[Łączna produkcja]]-energia[[#This Row],[Zapotrzebowanie]]</f>
        <v>359300.46100000024</v>
      </c>
      <c r="J397" t="b">
        <f>IF(energia[[#This Row],[Magazyn]]&lt;0,TRUE,FALSE)</f>
        <v>0</v>
      </c>
    </row>
    <row r="398" spans="1:10" x14ac:dyDescent="0.3">
      <c r="A398" s="1">
        <v>45399</v>
      </c>
      <c r="B398">
        <v>13</v>
      </c>
      <c r="C398">
        <v>1565.875</v>
      </c>
      <c r="D398">
        <v>4732.4629999999997</v>
      </c>
      <c r="E398" t="b">
        <f>IF(energia[[#This Row],[Zrodla_wiatrowe]]&gt;C397,TRUE,FALSE)</f>
        <v>0</v>
      </c>
      <c r="F398">
        <f>IF(energia[[#This Row],[Czy wiatr rosło]],F397+1,1)</f>
        <v>1</v>
      </c>
      <c r="G398">
        <v>7754.8519999999999</v>
      </c>
      <c r="H398" s="6">
        <f>(energia[[#This Row],[Zrodla_wiatrowe]]+energia[[#This Row],[Zrodla_fotowoltaiczne]])</f>
        <v>6298.3379999999997</v>
      </c>
      <c r="I398" s="6">
        <f>I397+energia[[#This Row],[Łączna produkcja]]-energia[[#This Row],[Zapotrzebowanie]]</f>
        <v>357843.94700000022</v>
      </c>
      <c r="J398" t="b">
        <f>IF(energia[[#This Row],[Magazyn]]&lt;0,TRUE,FALSE)</f>
        <v>0</v>
      </c>
    </row>
    <row r="399" spans="1:10" x14ac:dyDescent="0.3">
      <c r="A399" s="1">
        <v>45399</v>
      </c>
      <c r="B399">
        <v>14</v>
      </c>
      <c r="C399">
        <v>1509.5</v>
      </c>
      <c r="D399">
        <v>4975.9250000000002</v>
      </c>
      <c r="E399" t="b">
        <f>IF(energia[[#This Row],[Zrodla_wiatrowe]]&gt;C398,TRUE,FALSE)</f>
        <v>0</v>
      </c>
      <c r="F399">
        <f>IF(energia[[#This Row],[Czy wiatr rosło]],F398+1,1)</f>
        <v>1</v>
      </c>
      <c r="G399">
        <v>7326.3130000000001</v>
      </c>
      <c r="H399" s="6">
        <f>(energia[[#This Row],[Zrodla_wiatrowe]]+energia[[#This Row],[Zrodla_fotowoltaiczne]])</f>
        <v>6485.4250000000002</v>
      </c>
      <c r="I399" s="6">
        <f>I398+energia[[#This Row],[Łączna produkcja]]-energia[[#This Row],[Zapotrzebowanie]]</f>
        <v>357003.05900000018</v>
      </c>
      <c r="J399" t="b">
        <f>IF(energia[[#This Row],[Magazyn]]&lt;0,TRUE,FALSE)</f>
        <v>0</v>
      </c>
    </row>
    <row r="400" spans="1:10" x14ac:dyDescent="0.3">
      <c r="A400" s="1">
        <v>45399</v>
      </c>
      <c r="B400">
        <v>15</v>
      </c>
      <c r="C400">
        <v>1533.288</v>
      </c>
      <c r="D400">
        <v>4614.1130000000003</v>
      </c>
      <c r="E400" t="b">
        <f>IF(energia[[#This Row],[Zrodla_wiatrowe]]&gt;C399,TRUE,FALSE)</f>
        <v>1</v>
      </c>
      <c r="F400">
        <f>IF(energia[[#This Row],[Czy wiatr rosło]],F399+1,1)</f>
        <v>2</v>
      </c>
      <c r="G400">
        <v>7552.7039999999997</v>
      </c>
      <c r="H400" s="6">
        <f>(energia[[#This Row],[Zrodla_wiatrowe]]+energia[[#This Row],[Zrodla_fotowoltaiczne]])</f>
        <v>6147.4009999999998</v>
      </c>
      <c r="I400" s="6">
        <f>I399+energia[[#This Row],[Łączna produkcja]]-energia[[#This Row],[Zapotrzebowanie]]</f>
        <v>355597.75600000017</v>
      </c>
      <c r="J400" t="b">
        <f>IF(energia[[#This Row],[Magazyn]]&lt;0,TRUE,FALSE)</f>
        <v>0</v>
      </c>
    </row>
    <row r="401" spans="1:10" x14ac:dyDescent="0.3">
      <c r="A401" s="1">
        <v>45399</v>
      </c>
      <c r="B401">
        <v>16</v>
      </c>
      <c r="C401">
        <v>1480.588</v>
      </c>
      <c r="D401">
        <v>4263.0129999999999</v>
      </c>
      <c r="E401" t="b">
        <f>IF(energia[[#This Row],[Zrodla_wiatrowe]]&gt;C400,TRUE,FALSE)</f>
        <v>0</v>
      </c>
      <c r="F401">
        <f>IF(energia[[#This Row],[Czy wiatr rosło]],F400+1,1)</f>
        <v>1</v>
      </c>
      <c r="G401">
        <v>7606.5029999999997</v>
      </c>
      <c r="H401" s="6">
        <f>(energia[[#This Row],[Zrodla_wiatrowe]]+energia[[#This Row],[Zrodla_fotowoltaiczne]])</f>
        <v>5743.6009999999997</v>
      </c>
      <c r="I401" s="6">
        <f>I400+energia[[#This Row],[Łączna produkcja]]-energia[[#This Row],[Zapotrzebowanie]]</f>
        <v>353734.85400000017</v>
      </c>
      <c r="J401" t="b">
        <f>IF(energia[[#This Row],[Magazyn]]&lt;0,TRUE,FALSE)</f>
        <v>0</v>
      </c>
    </row>
    <row r="402" spans="1:10" x14ac:dyDescent="0.3">
      <c r="A402" s="1">
        <v>45399</v>
      </c>
      <c r="B402">
        <v>17</v>
      </c>
      <c r="C402">
        <v>1392.4</v>
      </c>
      <c r="D402">
        <v>3740.45</v>
      </c>
      <c r="E402" t="b">
        <f>IF(energia[[#This Row],[Zrodla_wiatrowe]]&gt;C401,TRUE,FALSE)</f>
        <v>0</v>
      </c>
      <c r="F402">
        <f>IF(energia[[#This Row],[Czy wiatr rosło]],F401+1,1)</f>
        <v>1</v>
      </c>
      <c r="G402">
        <v>7339.893</v>
      </c>
      <c r="H402" s="6">
        <f>(energia[[#This Row],[Zrodla_wiatrowe]]+energia[[#This Row],[Zrodla_fotowoltaiczne]])</f>
        <v>5132.8500000000004</v>
      </c>
      <c r="I402" s="6">
        <f>I401+energia[[#This Row],[Łączna produkcja]]-energia[[#This Row],[Zapotrzebowanie]]</f>
        <v>351527.81100000016</v>
      </c>
      <c r="J402" t="b">
        <f>IF(energia[[#This Row],[Magazyn]]&lt;0,TRUE,FALSE)</f>
        <v>0</v>
      </c>
    </row>
    <row r="403" spans="1:10" x14ac:dyDescent="0.3">
      <c r="A403" s="1">
        <v>45399</v>
      </c>
      <c r="B403">
        <v>18</v>
      </c>
      <c r="C403">
        <v>1282.713</v>
      </c>
      <c r="D403">
        <v>2461.4499999999998</v>
      </c>
      <c r="E403" t="b">
        <f>IF(energia[[#This Row],[Zrodla_wiatrowe]]&gt;C402,TRUE,FALSE)</f>
        <v>0</v>
      </c>
      <c r="F403">
        <f>IF(energia[[#This Row],[Czy wiatr rosło]],F402+1,1)</f>
        <v>1</v>
      </c>
      <c r="G403">
        <v>6739.2879999999996</v>
      </c>
      <c r="H403" s="6">
        <f>(energia[[#This Row],[Zrodla_wiatrowe]]+energia[[#This Row],[Zrodla_fotowoltaiczne]])</f>
        <v>3744.1629999999996</v>
      </c>
      <c r="I403" s="6">
        <f>I402+energia[[#This Row],[Łączna produkcja]]-energia[[#This Row],[Zapotrzebowanie]]</f>
        <v>348532.68600000016</v>
      </c>
      <c r="J403" t="b">
        <f>IF(energia[[#This Row],[Magazyn]]&lt;0,TRUE,FALSE)</f>
        <v>0</v>
      </c>
    </row>
    <row r="404" spans="1:10" x14ac:dyDescent="0.3">
      <c r="A404" s="1">
        <v>45399</v>
      </c>
      <c r="B404">
        <v>19</v>
      </c>
      <c r="C404">
        <v>1154.8879999999999</v>
      </c>
      <c r="D404">
        <v>1051.2380000000001</v>
      </c>
      <c r="E404" t="b">
        <f>IF(energia[[#This Row],[Zrodla_wiatrowe]]&gt;C403,TRUE,FALSE)</f>
        <v>0</v>
      </c>
      <c r="F404">
        <f>IF(energia[[#This Row],[Czy wiatr rosło]],F403+1,1)</f>
        <v>1</v>
      </c>
      <c r="G404">
        <v>6022.4870000000001</v>
      </c>
      <c r="H404" s="6">
        <f>(energia[[#This Row],[Zrodla_wiatrowe]]+energia[[#This Row],[Zrodla_fotowoltaiczne]])</f>
        <v>2206.1260000000002</v>
      </c>
      <c r="I404" s="6">
        <f>I403+energia[[#This Row],[Łączna produkcja]]-energia[[#This Row],[Zapotrzebowanie]]</f>
        <v>344716.32500000013</v>
      </c>
      <c r="J404" t="b">
        <f>IF(energia[[#This Row],[Magazyn]]&lt;0,TRUE,FALSE)</f>
        <v>0</v>
      </c>
    </row>
    <row r="405" spans="1:10" x14ac:dyDescent="0.3">
      <c r="A405" s="1">
        <v>45399</v>
      </c>
      <c r="B405">
        <v>20</v>
      </c>
      <c r="C405">
        <v>1046.0129999999999</v>
      </c>
      <c r="D405">
        <v>227.42500000000001</v>
      </c>
      <c r="E405" t="b">
        <f>IF(energia[[#This Row],[Zrodla_wiatrowe]]&gt;C404,TRUE,FALSE)</f>
        <v>0</v>
      </c>
      <c r="F405">
        <f>IF(energia[[#This Row],[Czy wiatr rosło]],F404+1,1)</f>
        <v>1</v>
      </c>
      <c r="G405">
        <v>5859.442</v>
      </c>
      <c r="H405" s="6">
        <f>(energia[[#This Row],[Zrodla_wiatrowe]]+energia[[#This Row],[Zrodla_fotowoltaiczne]])</f>
        <v>1273.4379999999999</v>
      </c>
      <c r="I405" s="6">
        <f>I404+energia[[#This Row],[Łączna produkcja]]-energia[[#This Row],[Zapotrzebowanie]]</f>
        <v>340130.32100000017</v>
      </c>
      <c r="J405" t="b">
        <f>IF(energia[[#This Row],[Magazyn]]&lt;0,TRUE,FALSE)</f>
        <v>0</v>
      </c>
    </row>
    <row r="406" spans="1:10" x14ac:dyDescent="0.3">
      <c r="A406" s="1">
        <v>45399</v>
      </c>
      <c r="B406">
        <v>21</v>
      </c>
      <c r="C406">
        <v>924.46299999999997</v>
      </c>
      <c r="D406">
        <v>5.5250000000000004</v>
      </c>
      <c r="E406" t="b">
        <f>IF(energia[[#This Row],[Zrodla_wiatrowe]]&gt;C405,TRUE,FALSE)</f>
        <v>0</v>
      </c>
      <c r="F406">
        <f>IF(energia[[#This Row],[Czy wiatr rosło]],F405+1,1)</f>
        <v>1</v>
      </c>
      <c r="G406">
        <v>4552.9049999999997</v>
      </c>
      <c r="H406" s="6">
        <f>(energia[[#This Row],[Zrodla_wiatrowe]]+energia[[#This Row],[Zrodla_fotowoltaiczne]])</f>
        <v>929.98799999999994</v>
      </c>
      <c r="I406" s="6">
        <f>I405+energia[[#This Row],[Łączna produkcja]]-energia[[#This Row],[Zapotrzebowanie]]</f>
        <v>336507.40400000016</v>
      </c>
      <c r="J406" t="b">
        <f>IF(energia[[#This Row],[Magazyn]]&lt;0,TRUE,FALSE)</f>
        <v>0</v>
      </c>
    </row>
    <row r="407" spans="1:10" x14ac:dyDescent="0.3">
      <c r="A407" s="1">
        <v>45399</v>
      </c>
      <c r="B407">
        <v>22</v>
      </c>
      <c r="C407">
        <v>838.05</v>
      </c>
      <c r="D407">
        <v>0</v>
      </c>
      <c r="E407" t="b">
        <f>IF(energia[[#This Row],[Zrodla_wiatrowe]]&gt;C406,TRUE,FALSE)</f>
        <v>0</v>
      </c>
      <c r="F407">
        <f>IF(energia[[#This Row],[Czy wiatr rosło]],F406+1,1)</f>
        <v>1</v>
      </c>
      <c r="G407">
        <v>4394.5940000000001</v>
      </c>
      <c r="H407" s="6">
        <f>(energia[[#This Row],[Zrodla_wiatrowe]]+energia[[#This Row],[Zrodla_fotowoltaiczne]])</f>
        <v>838.05</v>
      </c>
      <c r="I407" s="6">
        <f>I406+energia[[#This Row],[Łączna produkcja]]-energia[[#This Row],[Zapotrzebowanie]]</f>
        <v>332950.86000000016</v>
      </c>
      <c r="J407" t="b">
        <f>IF(energia[[#This Row],[Magazyn]]&lt;0,TRUE,FALSE)</f>
        <v>0</v>
      </c>
    </row>
    <row r="408" spans="1:10" x14ac:dyDescent="0.3">
      <c r="A408" s="1">
        <v>45399</v>
      </c>
      <c r="B408">
        <v>23</v>
      </c>
      <c r="C408">
        <v>799.63800000000003</v>
      </c>
      <c r="D408">
        <v>0</v>
      </c>
      <c r="E408" t="b">
        <f>IF(energia[[#This Row],[Zrodla_wiatrowe]]&gt;C407,TRUE,FALSE)</f>
        <v>0</v>
      </c>
      <c r="F408">
        <f>IF(energia[[#This Row],[Czy wiatr rosło]],F407+1,1)</f>
        <v>1</v>
      </c>
      <c r="G408">
        <v>2722.509</v>
      </c>
      <c r="H408" s="6">
        <f>(energia[[#This Row],[Zrodla_wiatrowe]]+energia[[#This Row],[Zrodla_fotowoltaiczne]])</f>
        <v>799.63800000000003</v>
      </c>
      <c r="I408" s="6">
        <f>I407+energia[[#This Row],[Łączna produkcja]]-energia[[#This Row],[Zapotrzebowanie]]</f>
        <v>331027.98900000012</v>
      </c>
      <c r="J408" t="b">
        <f>IF(energia[[#This Row],[Magazyn]]&lt;0,TRUE,FALSE)</f>
        <v>0</v>
      </c>
    </row>
    <row r="409" spans="1:10" x14ac:dyDescent="0.3">
      <c r="A409" s="1">
        <v>45399</v>
      </c>
      <c r="B409">
        <v>24</v>
      </c>
      <c r="C409">
        <v>796.38800000000003</v>
      </c>
      <c r="D409">
        <v>0</v>
      </c>
      <c r="E409" t="b">
        <f>IF(energia[[#This Row],[Zrodla_wiatrowe]]&gt;C408,TRUE,FALSE)</f>
        <v>0</v>
      </c>
      <c r="F409">
        <f>IF(energia[[#This Row],[Czy wiatr rosło]],F408+1,1)</f>
        <v>1</v>
      </c>
      <c r="G409">
        <v>1598.4659999999999</v>
      </c>
      <c r="H409" s="6">
        <f>(energia[[#This Row],[Zrodla_wiatrowe]]+energia[[#This Row],[Zrodla_fotowoltaiczne]])</f>
        <v>796.38800000000003</v>
      </c>
      <c r="I409" s="6">
        <f>I408+energia[[#This Row],[Łączna produkcja]]-energia[[#This Row],[Zapotrzebowanie]]</f>
        <v>330225.91100000008</v>
      </c>
      <c r="J409" t="b">
        <f>IF(energia[[#This Row],[Magazyn]]&lt;0,TRUE,FALSE)</f>
        <v>0</v>
      </c>
    </row>
    <row r="410" spans="1:10" x14ac:dyDescent="0.3">
      <c r="A410" s="1">
        <v>45400</v>
      </c>
      <c r="B410">
        <v>1</v>
      </c>
      <c r="C410">
        <v>832.66300000000001</v>
      </c>
      <c r="D410">
        <v>0</v>
      </c>
      <c r="E410" t="b">
        <f>IF(energia[[#This Row],[Zrodla_wiatrowe]]&gt;C409,TRUE,FALSE)</f>
        <v>1</v>
      </c>
      <c r="F410">
        <f>IF(energia[[#This Row],[Czy wiatr rosło]],F409+1,1)</f>
        <v>2</v>
      </c>
      <c r="G410">
        <v>1548.144</v>
      </c>
      <c r="H410" s="6">
        <f>(energia[[#This Row],[Zrodla_wiatrowe]]+energia[[#This Row],[Zrodla_fotowoltaiczne]])</f>
        <v>832.66300000000001</v>
      </c>
      <c r="I410" s="6">
        <f>I409+energia[[#This Row],[Łączna produkcja]]-energia[[#This Row],[Zapotrzebowanie]]</f>
        <v>329510.43000000011</v>
      </c>
      <c r="J410" t="b">
        <f>IF(energia[[#This Row],[Magazyn]]&lt;0,TRUE,FALSE)</f>
        <v>0</v>
      </c>
    </row>
    <row r="411" spans="1:10" x14ac:dyDescent="0.3">
      <c r="A411" s="1">
        <v>45400</v>
      </c>
      <c r="B411">
        <v>2</v>
      </c>
      <c r="C411">
        <v>983.56299999999999</v>
      </c>
      <c r="D411">
        <v>0</v>
      </c>
      <c r="E411" t="b">
        <f>IF(energia[[#This Row],[Zrodla_wiatrowe]]&gt;C410,TRUE,FALSE)</f>
        <v>1</v>
      </c>
      <c r="F411">
        <f>IF(energia[[#This Row],[Czy wiatr rosło]],F410+1,1)</f>
        <v>3</v>
      </c>
      <c r="G411">
        <v>1327.31</v>
      </c>
      <c r="H411" s="6">
        <f>(energia[[#This Row],[Zrodla_wiatrowe]]+energia[[#This Row],[Zrodla_fotowoltaiczne]])</f>
        <v>983.56299999999999</v>
      </c>
      <c r="I411" s="6">
        <f>I410+energia[[#This Row],[Łączna produkcja]]-energia[[#This Row],[Zapotrzebowanie]]</f>
        <v>329166.68300000014</v>
      </c>
      <c r="J411" t="b">
        <f>IF(energia[[#This Row],[Magazyn]]&lt;0,TRUE,FALSE)</f>
        <v>0</v>
      </c>
    </row>
    <row r="412" spans="1:10" x14ac:dyDescent="0.3">
      <c r="A412" s="1">
        <v>45400</v>
      </c>
      <c r="B412">
        <v>3</v>
      </c>
      <c r="C412">
        <v>1133.9880000000001</v>
      </c>
      <c r="D412">
        <v>0</v>
      </c>
      <c r="E412" t="b">
        <f>IF(energia[[#This Row],[Zrodla_wiatrowe]]&gt;C411,TRUE,FALSE)</f>
        <v>1</v>
      </c>
      <c r="F412">
        <f>IF(energia[[#This Row],[Czy wiatr rosło]],F411+1,1)</f>
        <v>4</v>
      </c>
      <c r="G412">
        <v>1241.415</v>
      </c>
      <c r="H412" s="6">
        <f>(energia[[#This Row],[Zrodla_wiatrowe]]+energia[[#This Row],[Zrodla_fotowoltaiczne]])</f>
        <v>1133.9880000000001</v>
      </c>
      <c r="I412" s="6">
        <f>I411+energia[[#This Row],[Łączna produkcja]]-energia[[#This Row],[Zapotrzebowanie]]</f>
        <v>329059.25600000017</v>
      </c>
      <c r="J412" t="b">
        <f>IF(energia[[#This Row],[Magazyn]]&lt;0,TRUE,FALSE)</f>
        <v>0</v>
      </c>
    </row>
    <row r="413" spans="1:10" x14ac:dyDescent="0.3">
      <c r="A413" s="1">
        <v>45400</v>
      </c>
      <c r="B413">
        <v>4</v>
      </c>
      <c r="C413">
        <v>1195.9000000000001</v>
      </c>
      <c r="D413">
        <v>0</v>
      </c>
      <c r="E413" t="b">
        <f>IF(energia[[#This Row],[Zrodla_wiatrowe]]&gt;C412,TRUE,FALSE)</f>
        <v>1</v>
      </c>
      <c r="F413">
        <f>IF(energia[[#This Row],[Czy wiatr rosło]],F412+1,1)</f>
        <v>5</v>
      </c>
      <c r="G413">
        <v>1243.9590000000001</v>
      </c>
      <c r="H413" s="6">
        <f>(energia[[#This Row],[Zrodla_wiatrowe]]+energia[[#This Row],[Zrodla_fotowoltaiczne]])</f>
        <v>1195.9000000000001</v>
      </c>
      <c r="I413" s="6">
        <f>I412+energia[[#This Row],[Łączna produkcja]]-energia[[#This Row],[Zapotrzebowanie]]</f>
        <v>329011.19700000022</v>
      </c>
      <c r="J413" t="b">
        <f>IF(energia[[#This Row],[Magazyn]]&lt;0,TRUE,FALSE)</f>
        <v>0</v>
      </c>
    </row>
    <row r="414" spans="1:10" x14ac:dyDescent="0.3">
      <c r="A414" s="1">
        <v>45400</v>
      </c>
      <c r="B414">
        <v>5</v>
      </c>
      <c r="C414">
        <v>1108.713</v>
      </c>
      <c r="D414">
        <v>0</v>
      </c>
      <c r="E414" t="b">
        <f>IF(energia[[#This Row],[Zrodla_wiatrowe]]&gt;C413,TRUE,FALSE)</f>
        <v>0</v>
      </c>
      <c r="F414">
        <f>IF(energia[[#This Row],[Czy wiatr rosło]],F413+1,1)</f>
        <v>1</v>
      </c>
      <c r="G414">
        <v>1864.8679999999999</v>
      </c>
      <c r="H414" s="6">
        <f>(energia[[#This Row],[Zrodla_wiatrowe]]+energia[[#This Row],[Zrodla_fotowoltaiczne]])</f>
        <v>1108.713</v>
      </c>
      <c r="I414" s="6">
        <f>I413+energia[[#This Row],[Łączna produkcja]]-energia[[#This Row],[Zapotrzebowanie]]</f>
        <v>328255.04200000019</v>
      </c>
      <c r="J414" t="b">
        <f>IF(energia[[#This Row],[Magazyn]]&lt;0,TRUE,FALSE)</f>
        <v>0</v>
      </c>
    </row>
    <row r="415" spans="1:10" x14ac:dyDescent="0.3">
      <c r="A415" s="1">
        <v>45400</v>
      </c>
      <c r="B415">
        <v>6</v>
      </c>
      <c r="C415">
        <v>1068.5250000000001</v>
      </c>
      <c r="D415">
        <v>23.388000000000002</v>
      </c>
      <c r="E415" t="b">
        <f>IF(energia[[#This Row],[Zrodla_wiatrowe]]&gt;C414,TRUE,FALSE)</f>
        <v>0</v>
      </c>
      <c r="F415">
        <f>IF(energia[[#This Row],[Czy wiatr rosło]],F414+1,1)</f>
        <v>1</v>
      </c>
      <c r="G415">
        <v>3088.2840000000001</v>
      </c>
      <c r="H415" s="6">
        <f>(energia[[#This Row],[Zrodla_wiatrowe]]+energia[[#This Row],[Zrodla_fotowoltaiczne]])</f>
        <v>1091.913</v>
      </c>
      <c r="I415" s="6">
        <f>I414+energia[[#This Row],[Łączna produkcja]]-energia[[#This Row],[Zapotrzebowanie]]</f>
        <v>326258.67100000021</v>
      </c>
      <c r="J415" t="b">
        <f>IF(energia[[#This Row],[Magazyn]]&lt;0,TRUE,FALSE)</f>
        <v>0</v>
      </c>
    </row>
    <row r="416" spans="1:10" x14ac:dyDescent="0.3">
      <c r="A416" s="1">
        <v>45400</v>
      </c>
      <c r="B416">
        <v>7</v>
      </c>
      <c r="C416">
        <v>1048.038</v>
      </c>
      <c r="D416">
        <v>454.05</v>
      </c>
      <c r="E416" t="b">
        <f>IF(energia[[#This Row],[Zrodla_wiatrowe]]&gt;C415,TRUE,FALSE)</f>
        <v>0</v>
      </c>
      <c r="F416">
        <f>IF(energia[[#This Row],[Czy wiatr rosło]],F415+1,1)</f>
        <v>1</v>
      </c>
      <c r="G416">
        <v>4206.9690000000001</v>
      </c>
      <c r="H416" s="6">
        <f>(energia[[#This Row],[Zrodla_wiatrowe]]+energia[[#This Row],[Zrodla_fotowoltaiczne]])</f>
        <v>1502.088</v>
      </c>
      <c r="I416" s="6">
        <f>I415+energia[[#This Row],[Łączna produkcja]]-energia[[#This Row],[Zapotrzebowanie]]</f>
        <v>323553.79000000021</v>
      </c>
      <c r="J416" t="b">
        <f>IF(energia[[#This Row],[Magazyn]]&lt;0,TRUE,FALSE)</f>
        <v>0</v>
      </c>
    </row>
    <row r="417" spans="1:10" x14ac:dyDescent="0.3">
      <c r="A417" s="1">
        <v>45400</v>
      </c>
      <c r="B417">
        <v>8</v>
      </c>
      <c r="C417">
        <v>944.56299999999999</v>
      </c>
      <c r="D417">
        <v>1750.7380000000001</v>
      </c>
      <c r="E417" t="b">
        <f>IF(energia[[#This Row],[Zrodla_wiatrowe]]&gt;C416,TRUE,FALSE)</f>
        <v>0</v>
      </c>
      <c r="F417">
        <f>IF(energia[[#This Row],[Czy wiatr rosło]],F416+1,1)</f>
        <v>1</v>
      </c>
      <c r="G417">
        <v>6555.7349999999997</v>
      </c>
      <c r="H417" s="6">
        <f>(energia[[#This Row],[Zrodla_wiatrowe]]+energia[[#This Row],[Zrodla_fotowoltaiczne]])</f>
        <v>2695.3009999999999</v>
      </c>
      <c r="I417" s="6">
        <f>I416+energia[[#This Row],[Łączna produkcja]]-energia[[#This Row],[Zapotrzebowanie]]</f>
        <v>319693.3560000002</v>
      </c>
      <c r="J417" t="b">
        <f>IF(energia[[#This Row],[Magazyn]]&lt;0,TRUE,FALSE)</f>
        <v>0</v>
      </c>
    </row>
    <row r="418" spans="1:10" x14ac:dyDescent="0.3">
      <c r="A418" s="1">
        <v>45400</v>
      </c>
      <c r="B418">
        <v>9</v>
      </c>
      <c r="C418">
        <v>970.76300000000003</v>
      </c>
      <c r="D418">
        <v>3414.125</v>
      </c>
      <c r="E418" t="b">
        <f>IF(energia[[#This Row],[Zrodla_wiatrowe]]&gt;C417,TRUE,FALSE)</f>
        <v>1</v>
      </c>
      <c r="F418">
        <f>IF(energia[[#This Row],[Czy wiatr rosło]],F417+1,1)</f>
        <v>2</v>
      </c>
      <c r="G418">
        <v>6969.4579999999996</v>
      </c>
      <c r="H418" s="6">
        <f>(energia[[#This Row],[Zrodla_wiatrowe]]+energia[[#This Row],[Zrodla_fotowoltaiczne]])</f>
        <v>4384.8879999999999</v>
      </c>
      <c r="I418" s="6">
        <f>I417+energia[[#This Row],[Łączna produkcja]]-energia[[#This Row],[Zapotrzebowanie]]</f>
        <v>317108.7860000002</v>
      </c>
      <c r="J418" t="b">
        <f>IF(energia[[#This Row],[Magazyn]]&lt;0,TRUE,FALSE)</f>
        <v>0</v>
      </c>
    </row>
    <row r="419" spans="1:10" x14ac:dyDescent="0.3">
      <c r="A419" s="1">
        <v>45400</v>
      </c>
      <c r="B419">
        <v>10</v>
      </c>
      <c r="C419">
        <v>1167.2750000000001</v>
      </c>
      <c r="D419">
        <v>4769.3879999999999</v>
      </c>
      <c r="E419" t="b">
        <f>IF(energia[[#This Row],[Zrodla_wiatrowe]]&gt;C418,TRUE,FALSE)</f>
        <v>1</v>
      </c>
      <c r="F419">
        <f>IF(energia[[#This Row],[Czy wiatr rosło]],F418+1,1)</f>
        <v>3</v>
      </c>
      <c r="G419">
        <v>7778.7460000000001</v>
      </c>
      <c r="H419" s="6">
        <f>(energia[[#This Row],[Zrodla_wiatrowe]]+energia[[#This Row],[Zrodla_fotowoltaiczne]])</f>
        <v>5936.6630000000005</v>
      </c>
      <c r="I419" s="6">
        <f>I418+energia[[#This Row],[Łączna produkcja]]-energia[[#This Row],[Zapotrzebowanie]]</f>
        <v>315266.70300000021</v>
      </c>
      <c r="J419" t="b">
        <f>IF(energia[[#This Row],[Magazyn]]&lt;0,TRUE,FALSE)</f>
        <v>0</v>
      </c>
    </row>
    <row r="420" spans="1:10" x14ac:dyDescent="0.3">
      <c r="A420" s="1">
        <v>45400</v>
      </c>
      <c r="B420">
        <v>11</v>
      </c>
      <c r="C420">
        <v>1420.288</v>
      </c>
      <c r="D420">
        <v>5606.7380000000003</v>
      </c>
      <c r="E420" t="b">
        <f>IF(energia[[#This Row],[Zrodla_wiatrowe]]&gt;C419,TRUE,FALSE)</f>
        <v>1</v>
      </c>
      <c r="F420">
        <f>IF(energia[[#This Row],[Czy wiatr rosło]],F419+1,1)</f>
        <v>4</v>
      </c>
      <c r="G420">
        <v>7756.8909999999996</v>
      </c>
      <c r="H420" s="6">
        <f>(energia[[#This Row],[Zrodla_wiatrowe]]+energia[[#This Row],[Zrodla_fotowoltaiczne]])</f>
        <v>7027.0259999999998</v>
      </c>
      <c r="I420" s="6">
        <f>I419+energia[[#This Row],[Łączna produkcja]]-energia[[#This Row],[Zapotrzebowanie]]</f>
        <v>314536.83800000022</v>
      </c>
      <c r="J420" t="b">
        <f>IF(energia[[#This Row],[Magazyn]]&lt;0,TRUE,FALSE)</f>
        <v>0</v>
      </c>
    </row>
    <row r="421" spans="1:10" x14ac:dyDescent="0.3">
      <c r="A421" s="1">
        <v>45400</v>
      </c>
      <c r="B421">
        <v>12</v>
      </c>
      <c r="C421">
        <v>1610.7629999999999</v>
      </c>
      <c r="D421">
        <v>6108</v>
      </c>
      <c r="E421" t="b">
        <f>IF(energia[[#This Row],[Zrodla_wiatrowe]]&gt;C420,TRUE,FALSE)</f>
        <v>1</v>
      </c>
      <c r="F421">
        <f>IF(energia[[#This Row],[Czy wiatr rosło]],F420+1,1)</f>
        <v>5</v>
      </c>
      <c r="G421">
        <v>7885.7969999999996</v>
      </c>
      <c r="H421" s="6">
        <f>(energia[[#This Row],[Zrodla_wiatrowe]]+energia[[#This Row],[Zrodla_fotowoltaiczne]])</f>
        <v>7718.7629999999999</v>
      </c>
      <c r="I421" s="6">
        <f>I420+energia[[#This Row],[Łączna produkcja]]-energia[[#This Row],[Zapotrzebowanie]]</f>
        <v>314369.80400000018</v>
      </c>
      <c r="J421" t="b">
        <f>IF(energia[[#This Row],[Magazyn]]&lt;0,TRUE,FALSE)</f>
        <v>0</v>
      </c>
    </row>
    <row r="422" spans="1:10" x14ac:dyDescent="0.3">
      <c r="A422" s="1">
        <v>45400</v>
      </c>
      <c r="B422">
        <v>13</v>
      </c>
      <c r="C422">
        <v>1773.963</v>
      </c>
      <c r="D422">
        <v>6099.8630000000003</v>
      </c>
      <c r="E422" t="b">
        <f>IF(energia[[#This Row],[Zrodla_wiatrowe]]&gt;C421,TRUE,FALSE)</f>
        <v>1</v>
      </c>
      <c r="F422">
        <f>IF(energia[[#This Row],[Czy wiatr rosło]],F421+1,1)</f>
        <v>6</v>
      </c>
      <c r="G422">
        <v>8215.3729999999996</v>
      </c>
      <c r="H422" s="6">
        <f>(energia[[#This Row],[Zrodla_wiatrowe]]+energia[[#This Row],[Zrodla_fotowoltaiczne]])</f>
        <v>7873.826</v>
      </c>
      <c r="I422" s="6">
        <f>I421+energia[[#This Row],[Łączna produkcja]]-energia[[#This Row],[Zapotrzebowanie]]</f>
        <v>314028.25700000016</v>
      </c>
      <c r="J422" t="b">
        <f>IF(energia[[#This Row],[Magazyn]]&lt;0,TRUE,FALSE)</f>
        <v>0</v>
      </c>
    </row>
    <row r="423" spans="1:10" x14ac:dyDescent="0.3">
      <c r="A423" s="1">
        <v>45400</v>
      </c>
      <c r="B423">
        <v>14</v>
      </c>
      <c r="C423">
        <v>2041.9380000000001</v>
      </c>
      <c r="D423">
        <v>5979.2129999999997</v>
      </c>
      <c r="E423" t="b">
        <f>IF(energia[[#This Row],[Zrodla_wiatrowe]]&gt;C422,TRUE,FALSE)</f>
        <v>1</v>
      </c>
      <c r="F423">
        <f>IF(energia[[#This Row],[Czy wiatr rosło]],F422+1,1)</f>
        <v>7</v>
      </c>
      <c r="G423">
        <v>7761.3850000000002</v>
      </c>
      <c r="H423" s="6">
        <f>(energia[[#This Row],[Zrodla_wiatrowe]]+energia[[#This Row],[Zrodla_fotowoltaiczne]])</f>
        <v>8021.1509999999998</v>
      </c>
      <c r="I423" s="6">
        <f>I422+energia[[#This Row],[Łączna produkcja]]-energia[[#This Row],[Zapotrzebowanie]]</f>
        <v>314288.02300000016</v>
      </c>
      <c r="J423" t="b">
        <f>IF(energia[[#This Row],[Magazyn]]&lt;0,TRUE,FALSE)</f>
        <v>0</v>
      </c>
    </row>
    <row r="424" spans="1:10" x14ac:dyDescent="0.3">
      <c r="A424" s="1">
        <v>45400</v>
      </c>
      <c r="B424">
        <v>15</v>
      </c>
      <c r="C424">
        <v>2218.8000000000002</v>
      </c>
      <c r="D424">
        <v>6035.7380000000003</v>
      </c>
      <c r="E424" t="b">
        <f>IF(energia[[#This Row],[Zrodla_wiatrowe]]&gt;C423,TRUE,FALSE)</f>
        <v>1</v>
      </c>
      <c r="F424">
        <f>IF(energia[[#This Row],[Czy wiatr rosło]],F423+1,1)</f>
        <v>8</v>
      </c>
      <c r="G424">
        <v>8001.2209999999995</v>
      </c>
      <c r="H424" s="6">
        <f>(energia[[#This Row],[Zrodla_wiatrowe]]+energia[[#This Row],[Zrodla_fotowoltaiczne]])</f>
        <v>8254.5380000000005</v>
      </c>
      <c r="I424" s="6">
        <f>I423+energia[[#This Row],[Łączna produkcja]]-energia[[#This Row],[Zapotrzebowanie]]</f>
        <v>314541.34000000014</v>
      </c>
      <c r="J424" t="b">
        <f>IF(energia[[#This Row],[Magazyn]]&lt;0,TRUE,FALSE)</f>
        <v>0</v>
      </c>
    </row>
    <row r="425" spans="1:10" x14ac:dyDescent="0.3">
      <c r="A425" s="1">
        <v>45400</v>
      </c>
      <c r="B425">
        <v>16</v>
      </c>
      <c r="C425">
        <v>2332.3249999999998</v>
      </c>
      <c r="D425">
        <v>5759.7879999999996</v>
      </c>
      <c r="E425" t="b">
        <f>IF(energia[[#This Row],[Zrodla_wiatrowe]]&gt;C424,TRUE,FALSE)</f>
        <v>1</v>
      </c>
      <c r="F425">
        <f>IF(energia[[#This Row],[Czy wiatr rosło]],F424+1,1)</f>
        <v>9</v>
      </c>
      <c r="G425">
        <v>8058.2150000000001</v>
      </c>
      <c r="H425" s="6">
        <f>(energia[[#This Row],[Zrodla_wiatrowe]]+energia[[#This Row],[Zrodla_fotowoltaiczne]])</f>
        <v>8092.1129999999994</v>
      </c>
      <c r="I425" s="6">
        <f>I424+energia[[#This Row],[Łączna produkcja]]-energia[[#This Row],[Zapotrzebowanie]]</f>
        <v>314575.23800000013</v>
      </c>
      <c r="J425" t="b">
        <f>IF(energia[[#This Row],[Magazyn]]&lt;0,TRUE,FALSE)</f>
        <v>0</v>
      </c>
    </row>
    <row r="426" spans="1:10" x14ac:dyDescent="0.3">
      <c r="A426" s="1">
        <v>45400</v>
      </c>
      <c r="B426">
        <v>17</v>
      </c>
      <c r="C426">
        <v>2170.6750000000002</v>
      </c>
      <c r="D426">
        <v>4938.2129999999997</v>
      </c>
      <c r="E426" t="b">
        <f>IF(energia[[#This Row],[Zrodla_wiatrowe]]&gt;C425,TRUE,FALSE)</f>
        <v>0</v>
      </c>
      <c r="F426">
        <f>IF(energia[[#This Row],[Czy wiatr rosło]],F425+1,1)</f>
        <v>1</v>
      </c>
      <c r="G426">
        <v>7775.7719999999999</v>
      </c>
      <c r="H426" s="6">
        <f>(energia[[#This Row],[Zrodla_wiatrowe]]+energia[[#This Row],[Zrodla_fotowoltaiczne]])</f>
        <v>7108.8879999999999</v>
      </c>
      <c r="I426" s="6">
        <f>I425+energia[[#This Row],[Łączna produkcja]]-energia[[#This Row],[Zapotrzebowanie]]</f>
        <v>313908.35400000011</v>
      </c>
      <c r="J426" t="b">
        <f>IF(energia[[#This Row],[Magazyn]]&lt;0,TRUE,FALSE)</f>
        <v>0</v>
      </c>
    </row>
    <row r="427" spans="1:10" x14ac:dyDescent="0.3">
      <c r="A427" s="1">
        <v>45400</v>
      </c>
      <c r="B427">
        <v>18</v>
      </c>
      <c r="C427">
        <v>1907.463</v>
      </c>
      <c r="D427">
        <v>3262.375</v>
      </c>
      <c r="E427" t="b">
        <f>IF(energia[[#This Row],[Zrodla_wiatrowe]]&gt;C426,TRUE,FALSE)</f>
        <v>0</v>
      </c>
      <c r="F427">
        <f>IF(energia[[#This Row],[Czy wiatr rosło]],F426+1,1)</f>
        <v>1</v>
      </c>
      <c r="G427">
        <v>7139.5</v>
      </c>
      <c r="H427" s="6">
        <f>(energia[[#This Row],[Zrodla_wiatrowe]]+energia[[#This Row],[Zrodla_fotowoltaiczne]])</f>
        <v>5169.8379999999997</v>
      </c>
      <c r="I427" s="6">
        <f>I426+energia[[#This Row],[Łączna produkcja]]-energia[[#This Row],[Zapotrzebowanie]]</f>
        <v>311938.6920000001</v>
      </c>
      <c r="J427" t="b">
        <f>IF(energia[[#This Row],[Magazyn]]&lt;0,TRUE,FALSE)</f>
        <v>0</v>
      </c>
    </row>
    <row r="428" spans="1:10" x14ac:dyDescent="0.3">
      <c r="A428" s="1">
        <v>45400</v>
      </c>
      <c r="B428">
        <v>19</v>
      </c>
      <c r="C428">
        <v>1663.9749999999999</v>
      </c>
      <c r="D428">
        <v>1365.9</v>
      </c>
      <c r="E428" t="b">
        <f>IF(energia[[#This Row],[Zrodla_wiatrowe]]&gt;C427,TRUE,FALSE)</f>
        <v>0</v>
      </c>
      <c r="F428">
        <f>IF(energia[[#This Row],[Czy wiatr rosło]],F427+1,1)</f>
        <v>1</v>
      </c>
      <c r="G428">
        <v>6380.1319999999996</v>
      </c>
      <c r="H428" s="6">
        <f>(energia[[#This Row],[Zrodla_wiatrowe]]+energia[[#This Row],[Zrodla_fotowoltaiczne]])</f>
        <v>3029.875</v>
      </c>
      <c r="I428" s="6">
        <f>I427+energia[[#This Row],[Łączna produkcja]]-energia[[#This Row],[Zapotrzebowanie]]</f>
        <v>308588.43500000011</v>
      </c>
      <c r="J428" t="b">
        <f>IF(energia[[#This Row],[Magazyn]]&lt;0,TRUE,FALSE)</f>
        <v>0</v>
      </c>
    </row>
    <row r="429" spans="1:10" x14ac:dyDescent="0.3">
      <c r="A429" s="1">
        <v>45400</v>
      </c>
      <c r="B429">
        <v>20</v>
      </c>
      <c r="C429">
        <v>1374.0630000000001</v>
      </c>
      <c r="D429">
        <v>343.58800000000002</v>
      </c>
      <c r="E429" t="b">
        <f>IF(energia[[#This Row],[Zrodla_wiatrowe]]&gt;C428,TRUE,FALSE)</f>
        <v>0</v>
      </c>
      <c r="F429">
        <f>IF(energia[[#This Row],[Czy wiatr rosło]],F428+1,1)</f>
        <v>1</v>
      </c>
      <c r="G429">
        <v>6207.4040000000005</v>
      </c>
      <c r="H429" s="6">
        <f>(energia[[#This Row],[Zrodla_wiatrowe]]+energia[[#This Row],[Zrodla_fotowoltaiczne]])</f>
        <v>1717.6510000000001</v>
      </c>
      <c r="I429" s="6">
        <f>I428+energia[[#This Row],[Łączna produkcja]]-energia[[#This Row],[Zapotrzebowanie]]</f>
        <v>304098.68200000015</v>
      </c>
      <c r="J429" t="b">
        <f>IF(energia[[#This Row],[Magazyn]]&lt;0,TRUE,FALSE)</f>
        <v>0</v>
      </c>
    </row>
    <row r="430" spans="1:10" x14ac:dyDescent="0.3">
      <c r="A430" s="1">
        <v>45400</v>
      </c>
      <c r="B430">
        <v>21</v>
      </c>
      <c r="C430">
        <v>1570.6880000000001</v>
      </c>
      <c r="D430">
        <v>9.7750000000000004</v>
      </c>
      <c r="E430" t="b">
        <f>IF(energia[[#This Row],[Zrodla_wiatrowe]]&gt;C429,TRUE,FALSE)</f>
        <v>1</v>
      </c>
      <c r="F430">
        <f>IF(energia[[#This Row],[Czy wiatr rosło]],F429+1,1)</f>
        <v>2</v>
      </c>
      <c r="G430">
        <v>4823.2790000000005</v>
      </c>
      <c r="H430" s="6">
        <f>(energia[[#This Row],[Zrodla_wiatrowe]]+energia[[#This Row],[Zrodla_fotowoltaiczne]])</f>
        <v>1580.4630000000002</v>
      </c>
      <c r="I430" s="6">
        <f>I429+energia[[#This Row],[Łączna produkcja]]-energia[[#This Row],[Zapotrzebowanie]]</f>
        <v>300855.86600000015</v>
      </c>
      <c r="J430" t="b">
        <f>IF(energia[[#This Row],[Magazyn]]&lt;0,TRUE,FALSE)</f>
        <v>0</v>
      </c>
    </row>
    <row r="431" spans="1:10" x14ac:dyDescent="0.3">
      <c r="A431" s="1">
        <v>45400</v>
      </c>
      <c r="B431">
        <v>22</v>
      </c>
      <c r="C431">
        <v>1720.0129999999999</v>
      </c>
      <c r="D431">
        <v>0</v>
      </c>
      <c r="E431" t="b">
        <f>IF(energia[[#This Row],[Zrodla_wiatrowe]]&gt;C430,TRUE,FALSE)</f>
        <v>1</v>
      </c>
      <c r="F431">
        <f>IF(energia[[#This Row],[Czy wiatr rosło]],F430+1,1)</f>
        <v>3</v>
      </c>
      <c r="G431">
        <v>4655.567</v>
      </c>
      <c r="H431" s="6">
        <f>(energia[[#This Row],[Zrodla_wiatrowe]]+energia[[#This Row],[Zrodla_fotowoltaiczne]])</f>
        <v>1720.0129999999999</v>
      </c>
      <c r="I431" s="6">
        <f>I430+energia[[#This Row],[Łączna produkcja]]-energia[[#This Row],[Zapotrzebowanie]]</f>
        <v>297920.31200000015</v>
      </c>
      <c r="J431" t="b">
        <f>IF(energia[[#This Row],[Magazyn]]&lt;0,TRUE,FALSE)</f>
        <v>0</v>
      </c>
    </row>
    <row r="432" spans="1:10" x14ac:dyDescent="0.3">
      <c r="A432" s="1">
        <v>45400</v>
      </c>
      <c r="B432">
        <v>23</v>
      </c>
      <c r="C432">
        <v>1954.838</v>
      </c>
      <c r="D432">
        <v>0</v>
      </c>
      <c r="E432" t="b">
        <f>IF(energia[[#This Row],[Zrodla_wiatrowe]]&gt;C431,TRUE,FALSE)</f>
        <v>1</v>
      </c>
      <c r="F432">
        <f>IF(energia[[#This Row],[Czy wiatr rosło]],F431+1,1)</f>
        <v>4</v>
      </c>
      <c r="G432">
        <v>2884.1849999999999</v>
      </c>
      <c r="H432" s="6">
        <f>(energia[[#This Row],[Zrodla_wiatrowe]]+energia[[#This Row],[Zrodla_fotowoltaiczne]])</f>
        <v>1954.838</v>
      </c>
      <c r="I432" s="6">
        <f>I431+energia[[#This Row],[Łączna produkcja]]-energia[[#This Row],[Zapotrzebowanie]]</f>
        <v>296990.96500000014</v>
      </c>
      <c r="J432" t="b">
        <f>IF(energia[[#This Row],[Magazyn]]&lt;0,TRUE,FALSE)</f>
        <v>0</v>
      </c>
    </row>
    <row r="433" spans="1:10" x14ac:dyDescent="0.3">
      <c r="A433" s="1">
        <v>45400</v>
      </c>
      <c r="B433">
        <v>24</v>
      </c>
      <c r="C433">
        <v>2022.1880000000001</v>
      </c>
      <c r="D433">
        <v>0</v>
      </c>
      <c r="E433" t="b">
        <f>IF(energia[[#This Row],[Zrodla_wiatrowe]]&gt;C432,TRUE,FALSE)</f>
        <v>1</v>
      </c>
      <c r="F433">
        <f>IF(energia[[#This Row],[Czy wiatr rosło]],F432+1,1)</f>
        <v>5</v>
      </c>
      <c r="G433">
        <v>1693.3910000000001</v>
      </c>
      <c r="H433" s="6">
        <f>(energia[[#This Row],[Zrodla_wiatrowe]]+energia[[#This Row],[Zrodla_fotowoltaiczne]])</f>
        <v>2022.1880000000001</v>
      </c>
      <c r="I433" s="6">
        <f>I432+energia[[#This Row],[Łączna produkcja]]-energia[[#This Row],[Zapotrzebowanie]]</f>
        <v>297319.76200000016</v>
      </c>
      <c r="J433" t="b">
        <f>IF(energia[[#This Row],[Magazyn]]&lt;0,TRUE,FALSE)</f>
        <v>0</v>
      </c>
    </row>
    <row r="434" spans="1:10" x14ac:dyDescent="0.3">
      <c r="A434" s="1">
        <v>45401</v>
      </c>
      <c r="B434">
        <v>1</v>
      </c>
      <c r="C434">
        <v>2147.4</v>
      </c>
      <c r="D434">
        <v>0</v>
      </c>
      <c r="E434" t="b">
        <f>IF(energia[[#This Row],[Zrodla_wiatrowe]]&gt;C433,TRUE,FALSE)</f>
        <v>1</v>
      </c>
      <c r="F434">
        <f>IF(energia[[#This Row],[Czy wiatr rosło]],F433+1,1)</f>
        <v>6</v>
      </c>
      <c r="G434">
        <v>1692.2660000000001</v>
      </c>
      <c r="H434" s="6">
        <f>(energia[[#This Row],[Zrodla_wiatrowe]]+energia[[#This Row],[Zrodla_fotowoltaiczne]])</f>
        <v>2147.4</v>
      </c>
      <c r="I434" s="6">
        <f>I433+energia[[#This Row],[Łączna produkcja]]-energia[[#This Row],[Zapotrzebowanie]]</f>
        <v>297774.89600000018</v>
      </c>
      <c r="J434" t="b">
        <f>IF(energia[[#This Row],[Magazyn]]&lt;0,TRUE,FALSE)</f>
        <v>0</v>
      </c>
    </row>
    <row r="435" spans="1:10" x14ac:dyDescent="0.3">
      <c r="A435" s="1">
        <v>45401</v>
      </c>
      <c r="B435">
        <v>2</v>
      </c>
      <c r="C435">
        <v>2305.1999999999998</v>
      </c>
      <c r="D435">
        <v>0</v>
      </c>
      <c r="E435" t="b">
        <f>IF(energia[[#This Row],[Zrodla_wiatrowe]]&gt;C434,TRUE,FALSE)</f>
        <v>1</v>
      </c>
      <c r="F435">
        <f>IF(energia[[#This Row],[Czy wiatr rosło]],F434+1,1)</f>
        <v>7</v>
      </c>
      <c r="G435">
        <v>1450.874</v>
      </c>
      <c r="H435" s="6">
        <f>(energia[[#This Row],[Zrodla_wiatrowe]]+energia[[#This Row],[Zrodla_fotowoltaiczne]])</f>
        <v>2305.1999999999998</v>
      </c>
      <c r="I435" s="6">
        <f>I434+energia[[#This Row],[Łączna produkcja]]-energia[[#This Row],[Zapotrzebowanie]]</f>
        <v>298629.22200000018</v>
      </c>
      <c r="J435" t="b">
        <f>IF(energia[[#This Row],[Magazyn]]&lt;0,TRUE,FALSE)</f>
        <v>0</v>
      </c>
    </row>
    <row r="436" spans="1:10" x14ac:dyDescent="0.3">
      <c r="A436" s="1">
        <v>45401</v>
      </c>
      <c r="B436">
        <v>3</v>
      </c>
      <c r="C436">
        <v>2501.9630000000002</v>
      </c>
      <c r="D436">
        <v>0</v>
      </c>
      <c r="E436" t="b">
        <f>IF(energia[[#This Row],[Zrodla_wiatrowe]]&gt;C435,TRUE,FALSE)</f>
        <v>1</v>
      </c>
      <c r="F436">
        <f>IF(energia[[#This Row],[Czy wiatr rosło]],F435+1,1)</f>
        <v>8</v>
      </c>
      <c r="G436">
        <v>1356.982</v>
      </c>
      <c r="H436" s="6">
        <f>(energia[[#This Row],[Zrodla_wiatrowe]]+energia[[#This Row],[Zrodla_fotowoltaiczne]])</f>
        <v>2501.9630000000002</v>
      </c>
      <c r="I436" s="6">
        <f>I435+energia[[#This Row],[Łączna produkcja]]-energia[[#This Row],[Zapotrzebowanie]]</f>
        <v>299774.20300000015</v>
      </c>
      <c r="J436" t="b">
        <f>IF(energia[[#This Row],[Magazyn]]&lt;0,TRUE,FALSE)</f>
        <v>0</v>
      </c>
    </row>
    <row r="437" spans="1:10" x14ac:dyDescent="0.3">
      <c r="A437" s="1">
        <v>45401</v>
      </c>
      <c r="B437">
        <v>4</v>
      </c>
      <c r="C437">
        <v>2833.625</v>
      </c>
      <c r="D437">
        <v>0</v>
      </c>
      <c r="E437" t="b">
        <f>IF(energia[[#This Row],[Zrodla_wiatrowe]]&gt;C436,TRUE,FALSE)</f>
        <v>1</v>
      </c>
      <c r="F437">
        <f>IF(energia[[#This Row],[Czy wiatr rosło]],F436+1,1)</f>
        <v>9</v>
      </c>
      <c r="G437">
        <v>1359.7629999999999</v>
      </c>
      <c r="H437" s="6">
        <f>(energia[[#This Row],[Zrodla_wiatrowe]]+energia[[#This Row],[Zrodla_fotowoltaiczne]])</f>
        <v>2833.625</v>
      </c>
      <c r="I437" s="6">
        <f>I436+energia[[#This Row],[Łączna produkcja]]-energia[[#This Row],[Zapotrzebowanie]]</f>
        <v>301248.06500000018</v>
      </c>
      <c r="J437" t="b">
        <f>IF(energia[[#This Row],[Magazyn]]&lt;0,TRUE,FALSE)</f>
        <v>0</v>
      </c>
    </row>
    <row r="438" spans="1:10" x14ac:dyDescent="0.3">
      <c r="A438" s="1">
        <v>45401</v>
      </c>
      <c r="B438">
        <v>5</v>
      </c>
      <c r="C438">
        <v>2877.9630000000002</v>
      </c>
      <c r="D438">
        <v>0</v>
      </c>
      <c r="E438" t="b">
        <f>IF(energia[[#This Row],[Zrodla_wiatrowe]]&gt;C437,TRUE,FALSE)</f>
        <v>1</v>
      </c>
      <c r="F438">
        <f>IF(energia[[#This Row],[Czy wiatr rosło]],F437+1,1)</f>
        <v>10</v>
      </c>
      <c r="G438">
        <v>1705.4739999999999</v>
      </c>
      <c r="H438" s="6">
        <f>(energia[[#This Row],[Zrodla_wiatrowe]]+energia[[#This Row],[Zrodla_fotowoltaiczne]])</f>
        <v>2877.9630000000002</v>
      </c>
      <c r="I438" s="6">
        <f>I437+energia[[#This Row],[Łączna produkcja]]-energia[[#This Row],[Zapotrzebowanie]]</f>
        <v>302420.55400000018</v>
      </c>
      <c r="J438" t="b">
        <f>IF(energia[[#This Row],[Magazyn]]&lt;0,TRUE,FALSE)</f>
        <v>0</v>
      </c>
    </row>
    <row r="439" spans="1:10" x14ac:dyDescent="0.3">
      <c r="A439" s="1">
        <v>45401</v>
      </c>
      <c r="B439">
        <v>6</v>
      </c>
      <c r="C439">
        <v>2784.9879999999998</v>
      </c>
      <c r="D439">
        <v>132.125</v>
      </c>
      <c r="E439" t="b">
        <f>IF(energia[[#This Row],[Zrodla_wiatrowe]]&gt;C438,TRUE,FALSE)</f>
        <v>0</v>
      </c>
      <c r="F439">
        <f>IF(energia[[#This Row],[Czy wiatr rosło]],F438+1,1)</f>
        <v>1</v>
      </c>
      <c r="G439">
        <v>3375.7820000000002</v>
      </c>
      <c r="H439" s="6">
        <f>(energia[[#This Row],[Zrodla_wiatrowe]]+energia[[#This Row],[Zrodla_fotowoltaiczne]])</f>
        <v>2917.1129999999998</v>
      </c>
      <c r="I439" s="6">
        <f>I438+energia[[#This Row],[Łączna produkcja]]-energia[[#This Row],[Zapotrzebowanie]]</f>
        <v>301961.88500000018</v>
      </c>
      <c r="J439" t="b">
        <f>IF(energia[[#This Row],[Magazyn]]&lt;0,TRUE,FALSE)</f>
        <v>0</v>
      </c>
    </row>
    <row r="440" spans="1:10" x14ac:dyDescent="0.3">
      <c r="A440" s="1">
        <v>45401</v>
      </c>
      <c r="B440">
        <v>7</v>
      </c>
      <c r="C440">
        <v>2484.5250000000001</v>
      </c>
      <c r="D440">
        <v>723.76300000000003</v>
      </c>
      <c r="E440" t="b">
        <f>IF(energia[[#This Row],[Zrodla_wiatrowe]]&gt;C439,TRUE,FALSE)</f>
        <v>0</v>
      </c>
      <c r="F440">
        <f>IF(energia[[#This Row],[Czy wiatr rosło]],F439+1,1)</f>
        <v>1</v>
      </c>
      <c r="G440">
        <v>4598.6080000000002</v>
      </c>
      <c r="H440" s="6">
        <f>(energia[[#This Row],[Zrodla_wiatrowe]]+energia[[#This Row],[Zrodla_fotowoltaiczne]])</f>
        <v>3208.288</v>
      </c>
      <c r="I440" s="6">
        <f>I439+energia[[#This Row],[Łączna produkcja]]-energia[[#This Row],[Zapotrzebowanie]]</f>
        <v>300571.56500000018</v>
      </c>
      <c r="J440" t="b">
        <f>IF(energia[[#This Row],[Magazyn]]&lt;0,TRUE,FALSE)</f>
        <v>0</v>
      </c>
    </row>
    <row r="441" spans="1:10" x14ac:dyDescent="0.3">
      <c r="A441" s="1">
        <v>45401</v>
      </c>
      <c r="B441">
        <v>8</v>
      </c>
      <c r="C441">
        <v>2028.2380000000001</v>
      </c>
      <c r="D441">
        <v>2284.4250000000002</v>
      </c>
      <c r="E441" t="b">
        <f>IF(energia[[#This Row],[Zrodla_wiatrowe]]&gt;C440,TRUE,FALSE)</f>
        <v>0</v>
      </c>
      <c r="F441">
        <f>IF(energia[[#This Row],[Czy wiatr rosło]],F440+1,1)</f>
        <v>1</v>
      </c>
      <c r="G441">
        <v>6802.0280000000002</v>
      </c>
      <c r="H441" s="6">
        <f>(energia[[#This Row],[Zrodla_wiatrowe]]+energia[[#This Row],[Zrodla_fotowoltaiczne]])</f>
        <v>4312.6630000000005</v>
      </c>
      <c r="I441" s="6">
        <f>I440+energia[[#This Row],[Łączna produkcja]]-energia[[#This Row],[Zapotrzebowanie]]</f>
        <v>298082.20000000019</v>
      </c>
      <c r="J441" t="b">
        <f>IF(energia[[#This Row],[Magazyn]]&lt;0,TRUE,FALSE)</f>
        <v>0</v>
      </c>
    </row>
    <row r="442" spans="1:10" x14ac:dyDescent="0.3">
      <c r="A442" s="1">
        <v>45401</v>
      </c>
      <c r="B442">
        <v>9</v>
      </c>
      <c r="C442">
        <v>1521.088</v>
      </c>
      <c r="D442">
        <v>4433.2749999999996</v>
      </c>
      <c r="E442" t="b">
        <f>IF(energia[[#This Row],[Zrodla_wiatrowe]]&gt;C441,TRUE,FALSE)</f>
        <v>0</v>
      </c>
      <c r="F442">
        <f>IF(energia[[#This Row],[Czy wiatr rosło]],F441+1,1)</f>
        <v>1</v>
      </c>
      <c r="G442">
        <v>7618.2659999999996</v>
      </c>
      <c r="H442" s="6">
        <f>(energia[[#This Row],[Zrodla_wiatrowe]]+energia[[#This Row],[Zrodla_fotowoltaiczne]])</f>
        <v>5954.3629999999994</v>
      </c>
      <c r="I442" s="6">
        <f>I441+energia[[#This Row],[Łączna produkcja]]-energia[[#This Row],[Zapotrzebowanie]]</f>
        <v>296418.2970000002</v>
      </c>
      <c r="J442" t="b">
        <f>IF(energia[[#This Row],[Magazyn]]&lt;0,TRUE,FALSE)</f>
        <v>0</v>
      </c>
    </row>
    <row r="443" spans="1:10" x14ac:dyDescent="0.3">
      <c r="A443" s="1">
        <v>45401</v>
      </c>
      <c r="B443">
        <v>10</v>
      </c>
      <c r="C443">
        <v>1461.3130000000001</v>
      </c>
      <c r="D443">
        <v>6028.0379999999996</v>
      </c>
      <c r="E443" t="b">
        <f>IF(energia[[#This Row],[Zrodla_wiatrowe]]&gt;C442,TRUE,FALSE)</f>
        <v>0</v>
      </c>
      <c r="F443">
        <f>IF(energia[[#This Row],[Czy wiatr rosło]],F442+1,1)</f>
        <v>1</v>
      </c>
      <c r="G443">
        <v>8502.8940000000002</v>
      </c>
      <c r="H443" s="6">
        <f>(energia[[#This Row],[Zrodla_wiatrowe]]+energia[[#This Row],[Zrodla_fotowoltaiczne]])</f>
        <v>7489.3509999999997</v>
      </c>
      <c r="I443" s="6">
        <f>I442+energia[[#This Row],[Łączna produkcja]]-energia[[#This Row],[Zapotrzebowanie]]</f>
        <v>295404.75400000019</v>
      </c>
      <c r="J443" t="b">
        <f>IF(energia[[#This Row],[Magazyn]]&lt;0,TRUE,FALSE)</f>
        <v>0</v>
      </c>
    </row>
    <row r="444" spans="1:10" x14ac:dyDescent="0.3">
      <c r="A444" s="1">
        <v>45401</v>
      </c>
      <c r="B444">
        <v>11</v>
      </c>
      <c r="C444">
        <v>1696.35</v>
      </c>
      <c r="D444">
        <v>6467.6880000000001</v>
      </c>
      <c r="E444" t="b">
        <f>IF(energia[[#This Row],[Zrodla_wiatrowe]]&gt;C443,TRUE,FALSE)</f>
        <v>1</v>
      </c>
      <c r="F444">
        <f>IF(energia[[#This Row],[Czy wiatr rosło]],F443+1,1)</f>
        <v>2</v>
      </c>
      <c r="G444">
        <v>8479.0040000000008</v>
      </c>
      <c r="H444" s="6">
        <f>(energia[[#This Row],[Zrodla_wiatrowe]]+energia[[#This Row],[Zrodla_fotowoltaiczne]])</f>
        <v>8164.0380000000005</v>
      </c>
      <c r="I444" s="6">
        <f>I443+energia[[#This Row],[Łączna produkcja]]-energia[[#This Row],[Zapotrzebowanie]]</f>
        <v>295089.78800000018</v>
      </c>
      <c r="J444" t="b">
        <f>IF(energia[[#This Row],[Magazyn]]&lt;0,TRUE,FALSE)</f>
        <v>0</v>
      </c>
    </row>
    <row r="445" spans="1:10" x14ac:dyDescent="0.3">
      <c r="A445" s="1">
        <v>45401</v>
      </c>
      <c r="B445">
        <v>12</v>
      </c>
      <c r="C445">
        <v>1765.338</v>
      </c>
      <c r="D445">
        <v>6435.5630000000001</v>
      </c>
      <c r="E445" t="b">
        <f>IF(energia[[#This Row],[Zrodla_wiatrowe]]&gt;C444,TRUE,FALSE)</f>
        <v>1</v>
      </c>
      <c r="F445">
        <f>IF(energia[[#This Row],[Czy wiatr rosło]],F444+1,1)</f>
        <v>3</v>
      </c>
      <c r="G445">
        <v>8619.91</v>
      </c>
      <c r="H445" s="6">
        <f>(energia[[#This Row],[Zrodla_wiatrowe]]+energia[[#This Row],[Zrodla_fotowoltaiczne]])</f>
        <v>8200.9009999999998</v>
      </c>
      <c r="I445" s="6">
        <f>I444+energia[[#This Row],[Łączna produkcja]]-energia[[#This Row],[Zapotrzebowanie]]</f>
        <v>294670.77900000021</v>
      </c>
      <c r="J445" t="b">
        <f>IF(energia[[#This Row],[Magazyn]]&lt;0,TRUE,FALSE)</f>
        <v>0</v>
      </c>
    </row>
    <row r="446" spans="1:10" x14ac:dyDescent="0.3">
      <c r="A446" s="1">
        <v>45401</v>
      </c>
      <c r="B446">
        <v>13</v>
      </c>
      <c r="C446">
        <v>1944.213</v>
      </c>
      <c r="D446">
        <v>6565.6130000000003</v>
      </c>
      <c r="E446" t="b">
        <f>IF(energia[[#This Row],[Zrodla_wiatrowe]]&gt;C445,TRUE,FALSE)</f>
        <v>1</v>
      </c>
      <c r="F446">
        <f>IF(energia[[#This Row],[Czy wiatr rosło]],F445+1,1)</f>
        <v>4</v>
      </c>
      <c r="G446">
        <v>8980.1679999999997</v>
      </c>
      <c r="H446" s="6">
        <f>(energia[[#This Row],[Zrodla_wiatrowe]]+energia[[#This Row],[Zrodla_fotowoltaiczne]])</f>
        <v>8509.8260000000009</v>
      </c>
      <c r="I446" s="6">
        <f>I445+energia[[#This Row],[Łączna produkcja]]-energia[[#This Row],[Zapotrzebowanie]]</f>
        <v>294200.43700000021</v>
      </c>
      <c r="J446" t="b">
        <f>IF(energia[[#This Row],[Magazyn]]&lt;0,TRUE,FALSE)</f>
        <v>0</v>
      </c>
    </row>
    <row r="447" spans="1:10" x14ac:dyDescent="0.3">
      <c r="A447" s="1">
        <v>45401</v>
      </c>
      <c r="B447">
        <v>14</v>
      </c>
      <c r="C447">
        <v>1947.65</v>
      </c>
      <c r="D447">
        <v>6601.0379999999996</v>
      </c>
      <c r="E447" t="b">
        <f>IF(energia[[#This Row],[Zrodla_wiatrowe]]&gt;C446,TRUE,FALSE)</f>
        <v>1</v>
      </c>
      <c r="F447">
        <f>IF(energia[[#This Row],[Czy wiatr rosło]],F446+1,1)</f>
        <v>5</v>
      </c>
      <c r="G447">
        <v>8483.9169999999995</v>
      </c>
      <c r="H447" s="6">
        <f>(energia[[#This Row],[Zrodla_wiatrowe]]+energia[[#This Row],[Zrodla_fotowoltaiczne]])</f>
        <v>8548.6880000000001</v>
      </c>
      <c r="I447" s="6">
        <f>I446+energia[[#This Row],[Łączna produkcja]]-energia[[#This Row],[Zapotrzebowanie]]</f>
        <v>294265.20800000022</v>
      </c>
      <c r="J447" t="b">
        <f>IF(energia[[#This Row],[Magazyn]]&lt;0,TRUE,FALSE)</f>
        <v>0</v>
      </c>
    </row>
    <row r="448" spans="1:10" x14ac:dyDescent="0.3">
      <c r="A448" s="1">
        <v>45401</v>
      </c>
      <c r="B448">
        <v>15</v>
      </c>
      <c r="C448">
        <v>1829.925</v>
      </c>
      <c r="D448">
        <v>5915.05</v>
      </c>
      <c r="E448" t="b">
        <f>IF(energia[[#This Row],[Zrodla_wiatrowe]]&gt;C447,TRUE,FALSE)</f>
        <v>0</v>
      </c>
      <c r="F448">
        <f>IF(energia[[#This Row],[Czy wiatr rosło]],F447+1,1)</f>
        <v>1</v>
      </c>
      <c r="G448">
        <v>8746.08</v>
      </c>
      <c r="H448" s="6">
        <f>(energia[[#This Row],[Zrodla_wiatrowe]]+energia[[#This Row],[Zrodla_fotowoltaiczne]])</f>
        <v>7744.9750000000004</v>
      </c>
      <c r="I448" s="6">
        <f>I447+energia[[#This Row],[Łączna produkcja]]-energia[[#This Row],[Zapotrzebowanie]]</f>
        <v>293264.10300000018</v>
      </c>
      <c r="J448" t="b">
        <f>IF(energia[[#This Row],[Magazyn]]&lt;0,TRUE,FALSE)</f>
        <v>0</v>
      </c>
    </row>
    <row r="449" spans="1:10" x14ac:dyDescent="0.3">
      <c r="A449" s="1">
        <v>45401</v>
      </c>
      <c r="B449">
        <v>16</v>
      </c>
      <c r="C449">
        <v>1870.1379999999999</v>
      </c>
      <c r="D449">
        <v>4890.9750000000004</v>
      </c>
      <c r="E449" t="b">
        <f>IF(energia[[#This Row],[Zrodla_wiatrowe]]&gt;C448,TRUE,FALSE)</f>
        <v>1</v>
      </c>
      <c r="F449">
        <f>IF(energia[[#This Row],[Czy wiatr rosło]],F448+1,1)</f>
        <v>2</v>
      </c>
      <c r="G449">
        <v>8808.3790000000008</v>
      </c>
      <c r="H449" s="6">
        <f>(energia[[#This Row],[Zrodla_wiatrowe]]+energia[[#This Row],[Zrodla_fotowoltaiczne]])</f>
        <v>6761.1130000000003</v>
      </c>
      <c r="I449" s="6">
        <f>I448+energia[[#This Row],[Łączna produkcja]]-energia[[#This Row],[Zapotrzebowanie]]</f>
        <v>291216.83700000017</v>
      </c>
      <c r="J449" t="b">
        <f>IF(energia[[#This Row],[Magazyn]]&lt;0,TRUE,FALSE)</f>
        <v>0</v>
      </c>
    </row>
    <row r="450" spans="1:10" x14ac:dyDescent="0.3">
      <c r="A450" s="1">
        <v>45401</v>
      </c>
      <c r="B450">
        <v>17</v>
      </c>
      <c r="C450">
        <v>1758.125</v>
      </c>
      <c r="D450">
        <v>3690.0129999999999</v>
      </c>
      <c r="E450" t="b">
        <f>IF(energia[[#This Row],[Zrodla_wiatrowe]]&gt;C449,TRUE,FALSE)</f>
        <v>0</v>
      </c>
      <c r="F450">
        <f>IF(energia[[#This Row],[Czy wiatr rosło]],F449+1,1)</f>
        <v>1</v>
      </c>
      <c r="G450">
        <v>8499.643</v>
      </c>
      <c r="H450" s="6">
        <f>(energia[[#This Row],[Zrodla_wiatrowe]]+energia[[#This Row],[Zrodla_fotowoltaiczne]])</f>
        <v>5448.1379999999999</v>
      </c>
      <c r="I450" s="6">
        <f>I449+energia[[#This Row],[Łączna produkcja]]-energia[[#This Row],[Zapotrzebowanie]]</f>
        <v>288165.33200000017</v>
      </c>
      <c r="J450" t="b">
        <f>IF(energia[[#This Row],[Magazyn]]&lt;0,TRUE,FALSE)</f>
        <v>0</v>
      </c>
    </row>
    <row r="451" spans="1:10" x14ac:dyDescent="0.3">
      <c r="A451" s="1">
        <v>45401</v>
      </c>
      <c r="B451">
        <v>18</v>
      </c>
      <c r="C451">
        <v>1628.6379999999999</v>
      </c>
      <c r="D451">
        <v>2319.663</v>
      </c>
      <c r="E451" t="b">
        <f>IF(energia[[#This Row],[Zrodla_wiatrowe]]&gt;C450,TRUE,FALSE)</f>
        <v>0</v>
      </c>
      <c r="F451">
        <f>IF(energia[[#This Row],[Czy wiatr rosło]],F450+1,1)</f>
        <v>1</v>
      </c>
      <c r="G451">
        <v>7804.1390000000001</v>
      </c>
      <c r="H451" s="6">
        <f>(energia[[#This Row],[Zrodla_wiatrowe]]+energia[[#This Row],[Zrodla_fotowoltaiczne]])</f>
        <v>3948.3009999999999</v>
      </c>
      <c r="I451" s="6">
        <f>I450+energia[[#This Row],[Łączna produkcja]]-energia[[#This Row],[Zapotrzebowanie]]</f>
        <v>284309.49400000012</v>
      </c>
      <c r="J451" t="b">
        <f>IF(energia[[#This Row],[Magazyn]]&lt;0,TRUE,FALSE)</f>
        <v>0</v>
      </c>
    </row>
    <row r="452" spans="1:10" x14ac:dyDescent="0.3">
      <c r="A452" s="1">
        <v>45401</v>
      </c>
      <c r="B452">
        <v>19</v>
      </c>
      <c r="C452">
        <v>1580.4749999999999</v>
      </c>
      <c r="D452">
        <v>1186.9000000000001</v>
      </c>
      <c r="E452" t="b">
        <f>IF(energia[[#This Row],[Zrodla_wiatrowe]]&gt;C451,TRUE,FALSE)</f>
        <v>0</v>
      </c>
      <c r="F452">
        <f>IF(energia[[#This Row],[Czy wiatr rosło]],F451+1,1)</f>
        <v>1</v>
      </c>
      <c r="G452">
        <v>7099.7380000000003</v>
      </c>
      <c r="H452" s="6">
        <f>(energia[[#This Row],[Zrodla_wiatrowe]]+energia[[#This Row],[Zrodla_fotowoltaiczne]])</f>
        <v>2767.375</v>
      </c>
      <c r="I452" s="6">
        <f>I451+energia[[#This Row],[Łączna produkcja]]-energia[[#This Row],[Zapotrzebowanie]]</f>
        <v>279977.13100000011</v>
      </c>
      <c r="J452" t="b">
        <f>IF(energia[[#This Row],[Magazyn]]&lt;0,TRUE,FALSE)</f>
        <v>0</v>
      </c>
    </row>
    <row r="453" spans="1:10" x14ac:dyDescent="0.3">
      <c r="A453" s="1">
        <v>45401</v>
      </c>
      <c r="B453">
        <v>20</v>
      </c>
      <c r="C453">
        <v>1403.1880000000001</v>
      </c>
      <c r="D453">
        <v>457.76299999999998</v>
      </c>
      <c r="E453" t="b">
        <f>IF(energia[[#This Row],[Zrodla_wiatrowe]]&gt;C452,TRUE,FALSE)</f>
        <v>0</v>
      </c>
      <c r="F453">
        <f>IF(energia[[#This Row],[Czy wiatr rosło]],F452+1,1)</f>
        <v>1</v>
      </c>
      <c r="G453">
        <v>6907.5280000000002</v>
      </c>
      <c r="H453" s="6">
        <f>(energia[[#This Row],[Zrodla_wiatrowe]]+energia[[#This Row],[Zrodla_fotowoltaiczne]])</f>
        <v>1860.951</v>
      </c>
      <c r="I453" s="6">
        <f>I452+energia[[#This Row],[Łączna produkcja]]-energia[[#This Row],[Zapotrzebowanie]]</f>
        <v>274930.55400000012</v>
      </c>
      <c r="J453" t="b">
        <f>IF(energia[[#This Row],[Magazyn]]&lt;0,TRUE,FALSE)</f>
        <v>0</v>
      </c>
    </row>
    <row r="454" spans="1:10" x14ac:dyDescent="0.3">
      <c r="A454" s="1">
        <v>45401</v>
      </c>
      <c r="B454">
        <v>21</v>
      </c>
      <c r="C454">
        <v>1497.7249999999999</v>
      </c>
      <c r="D454">
        <v>12.788</v>
      </c>
      <c r="E454" t="b">
        <f>IF(energia[[#This Row],[Zrodla_wiatrowe]]&gt;C453,TRUE,FALSE)</f>
        <v>1</v>
      </c>
      <c r="F454">
        <f>IF(energia[[#This Row],[Czy wiatr rosło]],F453+1,1)</f>
        <v>2</v>
      </c>
      <c r="G454">
        <v>5367.2889999999998</v>
      </c>
      <c r="H454" s="6">
        <f>(energia[[#This Row],[Zrodla_wiatrowe]]+energia[[#This Row],[Zrodla_fotowoltaiczne]])</f>
        <v>1510.5129999999999</v>
      </c>
      <c r="I454" s="6">
        <f>I453+energia[[#This Row],[Łączna produkcja]]-energia[[#This Row],[Zapotrzebowanie]]</f>
        <v>271073.77800000011</v>
      </c>
      <c r="J454" t="b">
        <f>IF(energia[[#This Row],[Magazyn]]&lt;0,TRUE,FALSE)</f>
        <v>0</v>
      </c>
    </row>
    <row r="455" spans="1:10" x14ac:dyDescent="0.3">
      <c r="A455" s="1">
        <v>45401</v>
      </c>
      <c r="B455">
        <v>22</v>
      </c>
      <c r="C455">
        <v>1671.663</v>
      </c>
      <c r="D455">
        <v>0</v>
      </c>
      <c r="E455" t="b">
        <f>IF(energia[[#This Row],[Zrodla_wiatrowe]]&gt;C454,TRUE,FALSE)</f>
        <v>1</v>
      </c>
      <c r="F455">
        <f>IF(energia[[#This Row],[Czy wiatr rosło]],F454+1,1)</f>
        <v>3</v>
      </c>
      <c r="G455">
        <v>5180.6610000000001</v>
      </c>
      <c r="H455" s="6">
        <f>(energia[[#This Row],[Zrodla_wiatrowe]]+energia[[#This Row],[Zrodla_fotowoltaiczne]])</f>
        <v>1671.663</v>
      </c>
      <c r="I455" s="6">
        <f>I454+energia[[#This Row],[Łączna produkcja]]-energia[[#This Row],[Zapotrzebowanie]]</f>
        <v>267564.78000000009</v>
      </c>
      <c r="J455" t="b">
        <f>IF(energia[[#This Row],[Magazyn]]&lt;0,TRUE,FALSE)</f>
        <v>0</v>
      </c>
    </row>
    <row r="456" spans="1:10" x14ac:dyDescent="0.3">
      <c r="A456" s="1">
        <v>45401</v>
      </c>
      <c r="B456">
        <v>23</v>
      </c>
      <c r="C456">
        <v>1720.963</v>
      </c>
      <c r="D456">
        <v>0</v>
      </c>
      <c r="E456" t="b">
        <f>IF(energia[[#This Row],[Zrodla_wiatrowe]]&gt;C455,TRUE,FALSE)</f>
        <v>1</v>
      </c>
      <c r="F456">
        <f>IF(energia[[#This Row],[Czy wiatr rosło]],F455+1,1)</f>
        <v>4</v>
      </c>
      <c r="G456">
        <v>3209.4879999999998</v>
      </c>
      <c r="H456" s="6">
        <f>(energia[[#This Row],[Zrodla_wiatrowe]]+energia[[#This Row],[Zrodla_fotowoltaiczne]])</f>
        <v>1720.963</v>
      </c>
      <c r="I456" s="6">
        <f>I455+energia[[#This Row],[Łączna produkcja]]-energia[[#This Row],[Zapotrzebowanie]]</f>
        <v>266076.25500000006</v>
      </c>
      <c r="J456" t="b">
        <f>IF(energia[[#This Row],[Magazyn]]&lt;0,TRUE,FALSE)</f>
        <v>0</v>
      </c>
    </row>
    <row r="457" spans="1:10" x14ac:dyDescent="0.3">
      <c r="A457" s="1">
        <v>45401</v>
      </c>
      <c r="B457">
        <v>24</v>
      </c>
      <c r="C457">
        <v>1723.9</v>
      </c>
      <c r="D457">
        <v>0</v>
      </c>
      <c r="E457" t="b">
        <f>IF(energia[[#This Row],[Zrodla_wiatrowe]]&gt;C456,TRUE,FALSE)</f>
        <v>1</v>
      </c>
      <c r="F457">
        <f>IF(energia[[#This Row],[Czy wiatr rosło]],F456+1,1)</f>
        <v>5</v>
      </c>
      <c r="G457">
        <v>1884.386</v>
      </c>
      <c r="H457" s="6">
        <f>(energia[[#This Row],[Zrodla_wiatrowe]]+energia[[#This Row],[Zrodla_fotowoltaiczne]])</f>
        <v>1723.9</v>
      </c>
      <c r="I457" s="6">
        <f>I456+energia[[#This Row],[Łączna produkcja]]-energia[[#This Row],[Zapotrzebowanie]]</f>
        <v>265915.76900000009</v>
      </c>
      <c r="J457" t="b">
        <f>IF(energia[[#This Row],[Magazyn]]&lt;0,TRUE,FALSE)</f>
        <v>0</v>
      </c>
    </row>
    <row r="458" spans="1:10" x14ac:dyDescent="0.3">
      <c r="A458" s="1">
        <v>45402</v>
      </c>
      <c r="B458">
        <v>1</v>
      </c>
      <c r="C458">
        <v>1948.213</v>
      </c>
      <c r="D458">
        <v>0</v>
      </c>
      <c r="E458" t="b">
        <f>IF(energia[[#This Row],[Zrodla_wiatrowe]]&gt;C457,TRUE,FALSE)</f>
        <v>1</v>
      </c>
      <c r="F458">
        <f>IF(energia[[#This Row],[Czy wiatr rosło]],F457+1,1)</f>
        <v>6</v>
      </c>
      <c r="G458">
        <v>1721.0340000000001</v>
      </c>
      <c r="H458" s="6">
        <f>(energia[[#This Row],[Zrodla_wiatrowe]]+energia[[#This Row],[Zrodla_fotowoltaiczne]])</f>
        <v>1948.213</v>
      </c>
      <c r="I458" s="6">
        <f>I457+energia[[#This Row],[Łączna produkcja]]-energia[[#This Row],[Zapotrzebowanie]]</f>
        <v>266142.94800000009</v>
      </c>
      <c r="J458" t="b">
        <f>IF(energia[[#This Row],[Magazyn]]&lt;0,TRUE,FALSE)</f>
        <v>0</v>
      </c>
    </row>
    <row r="459" spans="1:10" x14ac:dyDescent="0.3">
      <c r="A459" s="1">
        <v>45402</v>
      </c>
      <c r="B459">
        <v>2</v>
      </c>
      <c r="C459">
        <v>2266.5630000000001</v>
      </c>
      <c r="D459">
        <v>0</v>
      </c>
      <c r="E459" t="b">
        <f>IF(energia[[#This Row],[Zrodla_wiatrowe]]&gt;C458,TRUE,FALSE)</f>
        <v>1</v>
      </c>
      <c r="F459">
        <f>IF(energia[[#This Row],[Czy wiatr rosło]],F458+1,1)</f>
        <v>7</v>
      </c>
      <c r="G459">
        <v>1475.539</v>
      </c>
      <c r="H459" s="6">
        <f>(energia[[#This Row],[Zrodla_wiatrowe]]+energia[[#This Row],[Zrodla_fotowoltaiczne]])</f>
        <v>2266.5630000000001</v>
      </c>
      <c r="I459" s="6">
        <f>I458+energia[[#This Row],[Łączna produkcja]]-energia[[#This Row],[Zapotrzebowanie]]</f>
        <v>266933.97200000013</v>
      </c>
      <c r="J459" t="b">
        <f>IF(energia[[#This Row],[Magazyn]]&lt;0,TRUE,FALSE)</f>
        <v>0</v>
      </c>
    </row>
    <row r="460" spans="1:10" x14ac:dyDescent="0.3">
      <c r="A460" s="1">
        <v>45402</v>
      </c>
      <c r="B460">
        <v>3</v>
      </c>
      <c r="C460">
        <v>2522.8130000000001</v>
      </c>
      <c r="D460">
        <v>0</v>
      </c>
      <c r="E460" t="b">
        <f>IF(energia[[#This Row],[Zrodla_wiatrowe]]&gt;C459,TRUE,FALSE)</f>
        <v>1</v>
      </c>
      <c r="F460">
        <f>IF(energia[[#This Row],[Czy wiatr rosło]],F459+1,1)</f>
        <v>8</v>
      </c>
      <c r="G460">
        <v>1380.0509999999999</v>
      </c>
      <c r="H460" s="6">
        <f>(energia[[#This Row],[Zrodla_wiatrowe]]+energia[[#This Row],[Zrodla_fotowoltaiczne]])</f>
        <v>2522.8130000000001</v>
      </c>
      <c r="I460" s="6">
        <f>I459+energia[[#This Row],[Łączna produkcja]]-energia[[#This Row],[Zapotrzebowanie]]</f>
        <v>268076.73400000017</v>
      </c>
      <c r="J460" t="b">
        <f>IF(energia[[#This Row],[Magazyn]]&lt;0,TRUE,FALSE)</f>
        <v>0</v>
      </c>
    </row>
    <row r="461" spans="1:10" x14ac:dyDescent="0.3">
      <c r="A461" s="1">
        <v>45402</v>
      </c>
      <c r="B461">
        <v>4</v>
      </c>
      <c r="C461">
        <v>2655.8879999999999</v>
      </c>
      <c r="D461">
        <v>0</v>
      </c>
      <c r="E461" t="b">
        <f>IF(energia[[#This Row],[Zrodla_wiatrowe]]&gt;C460,TRUE,FALSE)</f>
        <v>1</v>
      </c>
      <c r="F461">
        <f>IF(energia[[#This Row],[Czy wiatr rosło]],F460+1,1)</f>
        <v>9</v>
      </c>
      <c r="G461">
        <v>1382.8789999999999</v>
      </c>
      <c r="H461" s="6">
        <f>(energia[[#This Row],[Zrodla_wiatrowe]]+energia[[#This Row],[Zrodla_fotowoltaiczne]])</f>
        <v>2655.8879999999999</v>
      </c>
      <c r="I461" s="6">
        <f>I460+energia[[#This Row],[Łączna produkcja]]-energia[[#This Row],[Zapotrzebowanie]]</f>
        <v>269349.74300000013</v>
      </c>
      <c r="J461" t="b">
        <f>IF(energia[[#This Row],[Magazyn]]&lt;0,TRUE,FALSE)</f>
        <v>0</v>
      </c>
    </row>
    <row r="462" spans="1:10" x14ac:dyDescent="0.3">
      <c r="A462" s="1">
        <v>45402</v>
      </c>
      <c r="B462">
        <v>5</v>
      </c>
      <c r="C462">
        <v>2681.55</v>
      </c>
      <c r="D462">
        <v>0</v>
      </c>
      <c r="E462" t="b">
        <f>IF(energia[[#This Row],[Zrodla_wiatrowe]]&gt;C461,TRUE,FALSE)</f>
        <v>1</v>
      </c>
      <c r="F462">
        <f>IF(energia[[#This Row],[Czy wiatr rosło]],F461+1,1)</f>
        <v>10</v>
      </c>
      <c r="G462">
        <v>2073.1280000000002</v>
      </c>
      <c r="H462" s="6">
        <f>(energia[[#This Row],[Zrodla_wiatrowe]]+energia[[#This Row],[Zrodla_fotowoltaiczne]])</f>
        <v>2681.55</v>
      </c>
      <c r="I462" s="6">
        <f>I461+energia[[#This Row],[Łączna produkcja]]-energia[[#This Row],[Zapotrzebowanie]]</f>
        <v>269958.1650000001</v>
      </c>
      <c r="J462" t="b">
        <f>IF(energia[[#This Row],[Magazyn]]&lt;0,TRUE,FALSE)</f>
        <v>0</v>
      </c>
    </row>
    <row r="463" spans="1:10" x14ac:dyDescent="0.3">
      <c r="A463" s="1">
        <v>45402</v>
      </c>
      <c r="B463">
        <v>6</v>
      </c>
      <c r="C463">
        <v>2601.2750000000001</v>
      </c>
      <c r="D463">
        <v>260.22500000000002</v>
      </c>
      <c r="E463" t="b">
        <f>IF(energia[[#This Row],[Zrodla_wiatrowe]]&gt;C462,TRUE,FALSE)</f>
        <v>0</v>
      </c>
      <c r="F463">
        <f>IF(energia[[#This Row],[Czy wiatr rosło]],F462+1,1)</f>
        <v>1</v>
      </c>
      <c r="G463">
        <v>3433.17</v>
      </c>
      <c r="H463" s="6">
        <f>(energia[[#This Row],[Zrodla_wiatrowe]]+energia[[#This Row],[Zrodla_fotowoltaiczne]])</f>
        <v>2861.5</v>
      </c>
      <c r="I463" s="6">
        <f>I462+energia[[#This Row],[Łączna produkcja]]-energia[[#This Row],[Zapotrzebowanie]]</f>
        <v>269386.49500000011</v>
      </c>
      <c r="J463" t="b">
        <f>IF(energia[[#This Row],[Magazyn]]&lt;0,TRUE,FALSE)</f>
        <v>0</v>
      </c>
    </row>
    <row r="464" spans="1:10" x14ac:dyDescent="0.3">
      <c r="A464" s="1">
        <v>45402</v>
      </c>
      <c r="B464">
        <v>7</v>
      </c>
      <c r="C464">
        <v>2638.5749999999998</v>
      </c>
      <c r="D464">
        <v>681.01300000000003</v>
      </c>
      <c r="E464" t="b">
        <f>IF(energia[[#This Row],[Zrodla_wiatrowe]]&gt;C463,TRUE,FALSE)</f>
        <v>1</v>
      </c>
      <c r="F464">
        <f>IF(energia[[#This Row],[Czy wiatr rosło]],F463+1,1)</f>
        <v>2</v>
      </c>
      <c r="G464">
        <v>4676.7849999999999</v>
      </c>
      <c r="H464" s="6">
        <f>(energia[[#This Row],[Zrodla_wiatrowe]]+energia[[#This Row],[Zrodla_fotowoltaiczne]])</f>
        <v>3319.5879999999997</v>
      </c>
      <c r="I464" s="6">
        <f>I463+energia[[#This Row],[Łączna produkcja]]-energia[[#This Row],[Zapotrzebowanie]]</f>
        <v>268029.29800000013</v>
      </c>
      <c r="J464" t="b">
        <f>IF(energia[[#This Row],[Magazyn]]&lt;0,TRUE,FALSE)</f>
        <v>0</v>
      </c>
    </row>
    <row r="465" spans="1:10" x14ac:dyDescent="0.3">
      <c r="A465" s="1">
        <v>45402</v>
      </c>
      <c r="B465">
        <v>8</v>
      </c>
      <c r="C465">
        <v>2693.7379999999998</v>
      </c>
      <c r="D465">
        <v>1367.7249999999999</v>
      </c>
      <c r="E465" t="b">
        <f>IF(energia[[#This Row],[Zrodla_wiatrowe]]&gt;C464,TRUE,FALSE)</f>
        <v>1</v>
      </c>
      <c r="F465">
        <f>IF(energia[[#This Row],[Czy wiatr rosło]],F464+1,1)</f>
        <v>3</v>
      </c>
      <c r="G465">
        <v>7287.8509999999997</v>
      </c>
      <c r="H465" s="6">
        <f>(energia[[#This Row],[Zrodla_wiatrowe]]+energia[[#This Row],[Zrodla_fotowoltaiczne]])</f>
        <v>4061.4629999999997</v>
      </c>
      <c r="I465" s="6">
        <f>I464+energia[[#This Row],[Łączna produkcja]]-energia[[#This Row],[Zapotrzebowanie]]</f>
        <v>264802.91000000009</v>
      </c>
      <c r="J465" t="b">
        <f>IF(energia[[#This Row],[Magazyn]]&lt;0,TRUE,FALSE)</f>
        <v>0</v>
      </c>
    </row>
    <row r="466" spans="1:10" x14ac:dyDescent="0.3">
      <c r="A466" s="1">
        <v>45402</v>
      </c>
      <c r="B466">
        <v>9</v>
      </c>
      <c r="C466">
        <v>2936.288</v>
      </c>
      <c r="D466">
        <v>2244.9879999999998</v>
      </c>
      <c r="E466" t="b">
        <f>IF(energia[[#This Row],[Zrodla_wiatrowe]]&gt;C465,TRUE,FALSE)</f>
        <v>1</v>
      </c>
      <c r="F466">
        <f>IF(energia[[#This Row],[Czy wiatr rosło]],F465+1,1)</f>
        <v>4</v>
      </c>
      <c r="G466">
        <v>7747.777</v>
      </c>
      <c r="H466" s="6">
        <f>(energia[[#This Row],[Zrodla_wiatrowe]]+energia[[#This Row],[Zrodla_fotowoltaiczne]])</f>
        <v>5181.2759999999998</v>
      </c>
      <c r="I466" s="6">
        <f>I465+energia[[#This Row],[Łączna produkcja]]-energia[[#This Row],[Zapotrzebowanie]]</f>
        <v>262236.4090000001</v>
      </c>
      <c r="J466" t="b">
        <f>IF(energia[[#This Row],[Magazyn]]&lt;0,TRUE,FALSE)</f>
        <v>0</v>
      </c>
    </row>
    <row r="467" spans="1:10" x14ac:dyDescent="0.3">
      <c r="A467" s="1">
        <v>45402</v>
      </c>
      <c r="B467">
        <v>10</v>
      </c>
      <c r="C467">
        <v>3229.1880000000001</v>
      </c>
      <c r="D467">
        <v>3289.05</v>
      </c>
      <c r="E467" t="b">
        <f>IF(energia[[#This Row],[Zrodla_wiatrowe]]&gt;C466,TRUE,FALSE)</f>
        <v>1</v>
      </c>
      <c r="F467">
        <f>IF(energia[[#This Row],[Czy wiatr rosło]],F466+1,1)</f>
        <v>5</v>
      </c>
      <c r="G467">
        <v>8647.4429999999993</v>
      </c>
      <c r="H467" s="6">
        <f>(energia[[#This Row],[Zrodla_wiatrowe]]+energia[[#This Row],[Zrodla_fotowoltaiczne]])</f>
        <v>6518.2380000000003</v>
      </c>
      <c r="I467" s="6">
        <f>I466+energia[[#This Row],[Łączna produkcja]]-energia[[#This Row],[Zapotrzebowanie]]</f>
        <v>260107.20400000011</v>
      </c>
      <c r="J467" t="b">
        <f>IF(energia[[#This Row],[Magazyn]]&lt;0,TRUE,FALSE)</f>
        <v>0</v>
      </c>
    </row>
    <row r="468" spans="1:10" x14ac:dyDescent="0.3">
      <c r="A468" s="1">
        <v>45402</v>
      </c>
      <c r="B468">
        <v>11</v>
      </c>
      <c r="C468">
        <v>3333.2750000000001</v>
      </c>
      <c r="D468">
        <v>3780.8</v>
      </c>
      <c r="E468" t="b">
        <f>IF(energia[[#This Row],[Zrodla_wiatrowe]]&gt;C467,TRUE,FALSE)</f>
        <v>1</v>
      </c>
      <c r="F468">
        <f>IF(energia[[#This Row],[Czy wiatr rosło]],F467+1,1)</f>
        <v>6</v>
      </c>
      <c r="G468">
        <v>8623.1470000000008</v>
      </c>
      <c r="H468" s="6">
        <f>(energia[[#This Row],[Zrodla_wiatrowe]]+energia[[#This Row],[Zrodla_fotowoltaiczne]])</f>
        <v>7114.0750000000007</v>
      </c>
      <c r="I468" s="6">
        <f>I467+energia[[#This Row],[Łączna produkcja]]-energia[[#This Row],[Zapotrzebowanie]]</f>
        <v>258598.1320000001</v>
      </c>
      <c r="J468" t="b">
        <f>IF(energia[[#This Row],[Magazyn]]&lt;0,TRUE,FALSE)</f>
        <v>0</v>
      </c>
    </row>
    <row r="469" spans="1:10" x14ac:dyDescent="0.3">
      <c r="A469" s="1">
        <v>45402</v>
      </c>
      <c r="B469">
        <v>12</v>
      </c>
      <c r="C469">
        <v>3592.125</v>
      </c>
      <c r="D469">
        <v>4266.5379999999996</v>
      </c>
      <c r="E469" t="b">
        <f>IF(energia[[#This Row],[Zrodla_wiatrowe]]&gt;C468,TRUE,FALSE)</f>
        <v>1</v>
      </c>
      <c r="F469">
        <f>IF(energia[[#This Row],[Czy wiatr rosło]],F468+1,1)</f>
        <v>7</v>
      </c>
      <c r="G469">
        <v>8766.4490000000005</v>
      </c>
      <c r="H469" s="6">
        <f>(energia[[#This Row],[Zrodla_wiatrowe]]+energia[[#This Row],[Zrodla_fotowoltaiczne]])</f>
        <v>7858.6629999999996</v>
      </c>
      <c r="I469" s="6">
        <f>I468+energia[[#This Row],[Łączna produkcja]]-energia[[#This Row],[Zapotrzebowanie]]</f>
        <v>257690.34600000011</v>
      </c>
      <c r="J469" t="b">
        <f>IF(energia[[#This Row],[Magazyn]]&lt;0,TRUE,FALSE)</f>
        <v>0</v>
      </c>
    </row>
    <row r="470" spans="1:10" x14ac:dyDescent="0.3">
      <c r="A470" s="1">
        <v>45402</v>
      </c>
      <c r="B470">
        <v>13</v>
      </c>
      <c r="C470">
        <v>3842.413</v>
      </c>
      <c r="D470">
        <v>4328.0379999999996</v>
      </c>
      <c r="E470" t="b">
        <f>IF(energia[[#This Row],[Zrodla_wiatrowe]]&gt;C469,TRUE,FALSE)</f>
        <v>1</v>
      </c>
      <c r="F470">
        <f>IF(energia[[#This Row],[Czy wiatr rosło]],F469+1,1)</f>
        <v>8</v>
      </c>
      <c r="G470">
        <v>9132.8310000000001</v>
      </c>
      <c r="H470" s="6">
        <f>(energia[[#This Row],[Zrodla_wiatrowe]]+energia[[#This Row],[Zrodla_fotowoltaiczne]])</f>
        <v>8170.4509999999991</v>
      </c>
      <c r="I470" s="6">
        <f>I469+energia[[#This Row],[Łączna produkcja]]-energia[[#This Row],[Zapotrzebowanie]]</f>
        <v>256727.96600000007</v>
      </c>
      <c r="J470" t="b">
        <f>IF(energia[[#This Row],[Magazyn]]&lt;0,TRUE,FALSE)</f>
        <v>0</v>
      </c>
    </row>
    <row r="471" spans="1:10" x14ac:dyDescent="0.3">
      <c r="A471" s="1">
        <v>45402</v>
      </c>
      <c r="B471">
        <v>14</v>
      </c>
      <c r="C471">
        <v>3900.3380000000002</v>
      </c>
      <c r="D471">
        <v>4282.625</v>
      </c>
      <c r="E471" t="b">
        <f>IF(energia[[#This Row],[Zrodla_wiatrowe]]&gt;C470,TRUE,FALSE)</f>
        <v>1</v>
      </c>
      <c r="F471">
        <f>IF(energia[[#This Row],[Czy wiatr rosło]],F470+1,1)</f>
        <v>9</v>
      </c>
      <c r="G471">
        <v>8628.143</v>
      </c>
      <c r="H471" s="6">
        <f>(energia[[#This Row],[Zrodla_wiatrowe]]+energia[[#This Row],[Zrodla_fotowoltaiczne]])</f>
        <v>8182.9629999999997</v>
      </c>
      <c r="I471" s="6">
        <f>I470+energia[[#This Row],[Łączna produkcja]]-energia[[#This Row],[Zapotrzebowanie]]</f>
        <v>256282.78600000005</v>
      </c>
      <c r="J471" t="b">
        <f>IF(energia[[#This Row],[Magazyn]]&lt;0,TRUE,FALSE)</f>
        <v>0</v>
      </c>
    </row>
    <row r="472" spans="1:10" x14ac:dyDescent="0.3">
      <c r="A472" s="1">
        <v>45402</v>
      </c>
      <c r="B472">
        <v>15</v>
      </c>
      <c r="C472">
        <v>3871.4879999999998</v>
      </c>
      <c r="D472">
        <v>3939.6</v>
      </c>
      <c r="E472" t="b">
        <f>IF(energia[[#This Row],[Zrodla_wiatrowe]]&gt;C471,TRUE,FALSE)</f>
        <v>0</v>
      </c>
      <c r="F472">
        <f>IF(energia[[#This Row],[Czy wiatr rosło]],F471+1,1)</f>
        <v>1</v>
      </c>
      <c r="G472">
        <v>8894.7630000000008</v>
      </c>
      <c r="H472" s="6">
        <f>(energia[[#This Row],[Zrodla_wiatrowe]]+energia[[#This Row],[Zrodla_fotowoltaiczne]])</f>
        <v>7811.0879999999997</v>
      </c>
      <c r="I472" s="6">
        <f>I471+energia[[#This Row],[Łączna produkcja]]-energia[[#This Row],[Zapotrzebowanie]]</f>
        <v>255199.11100000006</v>
      </c>
      <c r="J472" t="b">
        <f>IF(energia[[#This Row],[Magazyn]]&lt;0,TRUE,FALSE)</f>
        <v>0</v>
      </c>
    </row>
    <row r="473" spans="1:10" x14ac:dyDescent="0.3">
      <c r="A473" s="1">
        <v>45402</v>
      </c>
      <c r="B473">
        <v>16</v>
      </c>
      <c r="C473">
        <v>3587.1880000000001</v>
      </c>
      <c r="D473">
        <v>3408.8380000000002</v>
      </c>
      <c r="E473" t="b">
        <f>IF(energia[[#This Row],[Zrodla_wiatrowe]]&gt;C472,TRUE,FALSE)</f>
        <v>0</v>
      </c>
      <c r="F473">
        <f>IF(energia[[#This Row],[Czy wiatr rosło]],F472+1,1)</f>
        <v>1</v>
      </c>
      <c r="G473">
        <v>8958.1209999999992</v>
      </c>
      <c r="H473" s="6">
        <f>(energia[[#This Row],[Zrodla_wiatrowe]]+energia[[#This Row],[Zrodla_fotowoltaiczne]])</f>
        <v>6996.0259999999998</v>
      </c>
      <c r="I473" s="6">
        <f>I472+energia[[#This Row],[Łączna produkcja]]-energia[[#This Row],[Zapotrzebowanie]]</f>
        <v>253237.01600000006</v>
      </c>
      <c r="J473" t="b">
        <f>IF(energia[[#This Row],[Magazyn]]&lt;0,TRUE,FALSE)</f>
        <v>0</v>
      </c>
    </row>
    <row r="474" spans="1:10" x14ac:dyDescent="0.3">
      <c r="A474" s="1">
        <v>45402</v>
      </c>
      <c r="B474">
        <v>17</v>
      </c>
      <c r="C474">
        <v>3293.0129999999999</v>
      </c>
      <c r="D474">
        <v>2702.4749999999999</v>
      </c>
      <c r="E474" t="b">
        <f>IF(energia[[#This Row],[Zrodla_wiatrowe]]&gt;C473,TRUE,FALSE)</f>
        <v>0</v>
      </c>
      <c r="F474">
        <f>IF(energia[[#This Row],[Czy wiatr rosło]],F473+1,1)</f>
        <v>1</v>
      </c>
      <c r="G474">
        <v>8644.1370000000006</v>
      </c>
      <c r="H474" s="6">
        <f>(energia[[#This Row],[Zrodla_wiatrowe]]+energia[[#This Row],[Zrodla_fotowoltaiczne]])</f>
        <v>5995.4879999999994</v>
      </c>
      <c r="I474" s="6">
        <f>I473+energia[[#This Row],[Łączna produkcja]]-energia[[#This Row],[Zapotrzebowanie]]</f>
        <v>250588.36700000009</v>
      </c>
      <c r="J474" t="b">
        <f>IF(energia[[#This Row],[Magazyn]]&lt;0,TRUE,FALSE)</f>
        <v>0</v>
      </c>
    </row>
    <row r="475" spans="1:10" x14ac:dyDescent="0.3">
      <c r="A475" s="1">
        <v>45402</v>
      </c>
      <c r="B475">
        <v>18</v>
      </c>
      <c r="C475">
        <v>2748.3879999999999</v>
      </c>
      <c r="D475">
        <v>1841.338</v>
      </c>
      <c r="E475" t="b">
        <f>IF(energia[[#This Row],[Zrodla_wiatrowe]]&gt;C474,TRUE,FALSE)</f>
        <v>0</v>
      </c>
      <c r="F475">
        <f>IF(energia[[#This Row],[Czy wiatr rosło]],F474+1,1)</f>
        <v>1</v>
      </c>
      <c r="G475">
        <v>7936.8090000000002</v>
      </c>
      <c r="H475" s="6">
        <f>(energia[[#This Row],[Zrodla_wiatrowe]]+energia[[#This Row],[Zrodla_fotowoltaiczne]])</f>
        <v>4589.7259999999997</v>
      </c>
      <c r="I475" s="6">
        <f>I474+energia[[#This Row],[Łączna produkcja]]-energia[[#This Row],[Zapotrzebowanie]]</f>
        <v>247241.28400000007</v>
      </c>
      <c r="J475" t="b">
        <f>IF(energia[[#This Row],[Magazyn]]&lt;0,TRUE,FALSE)</f>
        <v>0</v>
      </c>
    </row>
    <row r="476" spans="1:10" x14ac:dyDescent="0.3">
      <c r="A476" s="1">
        <v>45402</v>
      </c>
      <c r="B476">
        <v>19</v>
      </c>
      <c r="C476">
        <v>2197.9250000000002</v>
      </c>
      <c r="D476">
        <v>893.51300000000003</v>
      </c>
      <c r="E476" t="b">
        <f>IF(energia[[#This Row],[Zrodla_wiatrowe]]&gt;C475,TRUE,FALSE)</f>
        <v>0</v>
      </c>
      <c r="F476">
        <f>IF(energia[[#This Row],[Czy wiatr rosło]],F475+1,1)</f>
        <v>1</v>
      </c>
      <c r="G476">
        <v>7092.6379999999999</v>
      </c>
      <c r="H476" s="6">
        <f>(energia[[#This Row],[Zrodla_wiatrowe]]+energia[[#This Row],[Zrodla_fotowoltaiczne]])</f>
        <v>3091.4380000000001</v>
      </c>
      <c r="I476" s="6">
        <f>I475+energia[[#This Row],[Łączna produkcja]]-energia[[#This Row],[Zapotrzebowanie]]</f>
        <v>243240.08400000006</v>
      </c>
      <c r="J476" t="b">
        <f>IF(energia[[#This Row],[Magazyn]]&lt;0,TRUE,FALSE)</f>
        <v>0</v>
      </c>
    </row>
    <row r="477" spans="1:10" x14ac:dyDescent="0.3">
      <c r="A477" s="1">
        <v>45402</v>
      </c>
      <c r="B477">
        <v>20</v>
      </c>
      <c r="C477">
        <v>1794.8130000000001</v>
      </c>
      <c r="D477">
        <v>211.27500000000001</v>
      </c>
      <c r="E477" t="b">
        <f>IF(energia[[#This Row],[Zrodla_wiatrowe]]&gt;C476,TRUE,FALSE)</f>
        <v>0</v>
      </c>
      <c r="F477">
        <f>IF(energia[[#This Row],[Czy wiatr rosło]],F476+1,1)</f>
        <v>1</v>
      </c>
      <c r="G477">
        <v>6900.62</v>
      </c>
      <c r="H477" s="6">
        <f>(energia[[#This Row],[Zrodla_wiatrowe]]+energia[[#This Row],[Zrodla_fotowoltaiczne]])</f>
        <v>2006.0880000000002</v>
      </c>
      <c r="I477" s="6">
        <f>I476+energia[[#This Row],[Łączna produkcja]]-energia[[#This Row],[Zapotrzebowanie]]</f>
        <v>238345.55200000005</v>
      </c>
      <c r="J477" t="b">
        <f>IF(energia[[#This Row],[Magazyn]]&lt;0,TRUE,FALSE)</f>
        <v>0</v>
      </c>
    </row>
    <row r="478" spans="1:10" x14ac:dyDescent="0.3">
      <c r="A478" s="1">
        <v>45402</v>
      </c>
      <c r="B478">
        <v>21</v>
      </c>
      <c r="C478">
        <v>1357.075</v>
      </c>
      <c r="D478">
        <v>6.0880000000000001</v>
      </c>
      <c r="E478" t="b">
        <f>IF(energia[[#This Row],[Zrodla_wiatrowe]]&gt;C477,TRUE,FALSE)</f>
        <v>0</v>
      </c>
      <c r="F478">
        <f>IF(energia[[#This Row],[Czy wiatr rosło]],F477+1,1)</f>
        <v>1</v>
      </c>
      <c r="G478">
        <v>5361.9219999999996</v>
      </c>
      <c r="H478" s="6">
        <f>(energia[[#This Row],[Zrodla_wiatrowe]]+energia[[#This Row],[Zrodla_fotowoltaiczne]])</f>
        <v>1363.163</v>
      </c>
      <c r="I478" s="6">
        <f>I477+energia[[#This Row],[Łączna produkcja]]-energia[[#This Row],[Zapotrzebowanie]]</f>
        <v>234346.79300000006</v>
      </c>
      <c r="J478" t="b">
        <f>IF(energia[[#This Row],[Magazyn]]&lt;0,TRUE,FALSE)</f>
        <v>0</v>
      </c>
    </row>
    <row r="479" spans="1:10" x14ac:dyDescent="0.3">
      <c r="A479" s="1">
        <v>45402</v>
      </c>
      <c r="B479">
        <v>22</v>
      </c>
      <c r="C479">
        <v>1288.213</v>
      </c>
      <c r="D479">
        <v>0</v>
      </c>
      <c r="E479" t="b">
        <f>IF(energia[[#This Row],[Zrodla_wiatrowe]]&gt;C478,TRUE,FALSE)</f>
        <v>0</v>
      </c>
      <c r="F479">
        <f>IF(energia[[#This Row],[Czy wiatr rosło]],F478+1,1)</f>
        <v>1</v>
      </c>
      <c r="G479">
        <v>5175.4799999999996</v>
      </c>
      <c r="H479" s="6">
        <f>(energia[[#This Row],[Zrodla_wiatrowe]]+energia[[#This Row],[Zrodla_fotowoltaiczne]])</f>
        <v>1288.213</v>
      </c>
      <c r="I479" s="6">
        <f>I478+energia[[#This Row],[Łączna produkcja]]-energia[[#This Row],[Zapotrzebowanie]]</f>
        <v>230459.52600000004</v>
      </c>
      <c r="J479" t="b">
        <f>IF(energia[[#This Row],[Magazyn]]&lt;0,TRUE,FALSE)</f>
        <v>0</v>
      </c>
    </row>
    <row r="480" spans="1:10" x14ac:dyDescent="0.3">
      <c r="A480" s="1">
        <v>45402</v>
      </c>
      <c r="B480">
        <v>23</v>
      </c>
      <c r="C480">
        <v>1273.3630000000001</v>
      </c>
      <c r="D480">
        <v>0</v>
      </c>
      <c r="E480" t="b">
        <f>IF(energia[[#This Row],[Zrodla_wiatrowe]]&gt;C479,TRUE,FALSE)</f>
        <v>0</v>
      </c>
      <c r="F480">
        <f>IF(energia[[#This Row],[Czy wiatr rosło]],F479+1,1)</f>
        <v>1</v>
      </c>
      <c r="G480">
        <v>3206.279</v>
      </c>
      <c r="H480" s="6">
        <f>(energia[[#This Row],[Zrodla_wiatrowe]]+energia[[#This Row],[Zrodla_fotowoltaiczne]])</f>
        <v>1273.3630000000001</v>
      </c>
      <c r="I480" s="6">
        <f>I479+energia[[#This Row],[Łączna produkcja]]-energia[[#This Row],[Zapotrzebowanie]]</f>
        <v>228526.61000000004</v>
      </c>
      <c r="J480" t="b">
        <f>IF(energia[[#This Row],[Magazyn]]&lt;0,TRUE,FALSE)</f>
        <v>0</v>
      </c>
    </row>
    <row r="481" spans="1:10" x14ac:dyDescent="0.3">
      <c r="A481" s="1">
        <v>45402</v>
      </c>
      <c r="B481">
        <v>24</v>
      </c>
      <c r="C481">
        <v>1262.5250000000001</v>
      </c>
      <c r="D481">
        <v>0</v>
      </c>
      <c r="E481" t="b">
        <f>IF(energia[[#This Row],[Zrodla_wiatrowe]]&gt;C480,TRUE,FALSE)</f>
        <v>0</v>
      </c>
      <c r="F481">
        <f>IF(energia[[#This Row],[Czy wiatr rosło]],F480+1,1)</f>
        <v>1</v>
      </c>
      <c r="G481">
        <v>1882.502</v>
      </c>
      <c r="H481" s="6">
        <f>(energia[[#This Row],[Zrodla_wiatrowe]]+energia[[#This Row],[Zrodla_fotowoltaiczne]])</f>
        <v>1262.5250000000001</v>
      </c>
      <c r="I481" s="6">
        <f>I480+energia[[#This Row],[Łączna produkcja]]-energia[[#This Row],[Zapotrzebowanie]]</f>
        <v>227906.63300000003</v>
      </c>
      <c r="J481" t="b">
        <f>IF(energia[[#This Row],[Magazyn]]&lt;0,TRUE,FALSE)</f>
        <v>0</v>
      </c>
    </row>
    <row r="482" spans="1:10" x14ac:dyDescent="0.3">
      <c r="A482" s="1">
        <v>45403</v>
      </c>
      <c r="B482">
        <v>1</v>
      </c>
      <c r="C482">
        <v>1398.838</v>
      </c>
      <c r="D482">
        <v>0</v>
      </c>
      <c r="E482" t="b">
        <f>IF(energia[[#This Row],[Zrodla_wiatrowe]]&gt;C481,TRUE,FALSE)</f>
        <v>1</v>
      </c>
      <c r="F482">
        <f>IF(energia[[#This Row],[Czy wiatr rosło]],F481+1,1)</f>
        <v>2</v>
      </c>
      <c r="G482">
        <v>1577.616</v>
      </c>
      <c r="H482" s="6">
        <f>(energia[[#This Row],[Zrodla_wiatrowe]]+energia[[#This Row],[Zrodla_fotowoltaiczne]])</f>
        <v>1398.838</v>
      </c>
      <c r="I482" s="6">
        <f>I481+energia[[#This Row],[Łączna produkcja]]-energia[[#This Row],[Zapotrzebowanie]]</f>
        <v>227727.85500000001</v>
      </c>
      <c r="J482" t="b">
        <f>IF(energia[[#This Row],[Magazyn]]&lt;0,TRUE,FALSE)</f>
        <v>0</v>
      </c>
    </row>
    <row r="483" spans="1:10" x14ac:dyDescent="0.3">
      <c r="A483" s="1">
        <v>45403</v>
      </c>
      <c r="B483">
        <v>2</v>
      </c>
      <c r="C483">
        <v>1532.7249999999999</v>
      </c>
      <c r="D483">
        <v>0</v>
      </c>
      <c r="E483" t="b">
        <f>IF(energia[[#This Row],[Zrodla_wiatrowe]]&gt;C482,TRUE,FALSE)</f>
        <v>1</v>
      </c>
      <c r="F483">
        <f>IF(energia[[#This Row],[Czy wiatr rosło]],F482+1,1)</f>
        <v>3</v>
      </c>
      <c r="G483">
        <v>1352.578</v>
      </c>
      <c r="H483" s="6">
        <f>(energia[[#This Row],[Zrodla_wiatrowe]]+energia[[#This Row],[Zrodla_fotowoltaiczne]])</f>
        <v>1532.7249999999999</v>
      </c>
      <c r="I483" s="6">
        <f>I482+energia[[#This Row],[Łączna produkcja]]-energia[[#This Row],[Zapotrzebowanie]]</f>
        <v>227908.00200000001</v>
      </c>
      <c r="J483" t="b">
        <f>IF(energia[[#This Row],[Magazyn]]&lt;0,TRUE,FALSE)</f>
        <v>0</v>
      </c>
    </row>
    <row r="484" spans="1:10" x14ac:dyDescent="0.3">
      <c r="A484" s="1">
        <v>45403</v>
      </c>
      <c r="B484">
        <v>3</v>
      </c>
      <c r="C484">
        <v>1704.1880000000001</v>
      </c>
      <c r="D484">
        <v>0</v>
      </c>
      <c r="E484" t="b">
        <f>IF(energia[[#This Row],[Zrodla_wiatrowe]]&gt;C483,TRUE,FALSE)</f>
        <v>1</v>
      </c>
      <c r="F484">
        <f>IF(energia[[#This Row],[Czy wiatr rosło]],F483+1,1)</f>
        <v>4</v>
      </c>
      <c r="G484">
        <v>1265.048</v>
      </c>
      <c r="H484" s="6">
        <f>(energia[[#This Row],[Zrodla_wiatrowe]]+energia[[#This Row],[Zrodla_fotowoltaiczne]])</f>
        <v>1704.1880000000001</v>
      </c>
      <c r="I484" s="6">
        <f>I483+energia[[#This Row],[Łączna produkcja]]-energia[[#This Row],[Zapotrzebowanie]]</f>
        <v>228347.14199999999</v>
      </c>
      <c r="J484" t="b">
        <f>IF(energia[[#This Row],[Magazyn]]&lt;0,TRUE,FALSE)</f>
        <v>0</v>
      </c>
    </row>
    <row r="485" spans="1:10" x14ac:dyDescent="0.3">
      <c r="A485" s="1">
        <v>45403</v>
      </c>
      <c r="B485">
        <v>4</v>
      </c>
      <c r="C485">
        <v>1849.1</v>
      </c>
      <c r="D485">
        <v>0</v>
      </c>
      <c r="E485" t="b">
        <f>IF(energia[[#This Row],[Zrodla_wiatrowe]]&gt;C484,TRUE,FALSE)</f>
        <v>1</v>
      </c>
      <c r="F485">
        <f>IF(energia[[#This Row],[Czy wiatr rosło]],F484+1,1)</f>
        <v>5</v>
      </c>
      <c r="G485">
        <v>1267.6410000000001</v>
      </c>
      <c r="H485" s="6">
        <f>(energia[[#This Row],[Zrodla_wiatrowe]]+energia[[#This Row],[Zrodla_fotowoltaiczne]])</f>
        <v>1849.1</v>
      </c>
      <c r="I485" s="6">
        <f>I484+energia[[#This Row],[Łączna produkcja]]-energia[[#This Row],[Zapotrzebowanie]]</f>
        <v>228928.601</v>
      </c>
      <c r="J485" t="b">
        <f>IF(energia[[#This Row],[Magazyn]]&lt;0,TRUE,FALSE)</f>
        <v>0</v>
      </c>
    </row>
    <row r="486" spans="1:10" x14ac:dyDescent="0.3">
      <c r="A486" s="1">
        <v>45403</v>
      </c>
      <c r="B486">
        <v>5</v>
      </c>
      <c r="C486">
        <v>1937.375</v>
      </c>
      <c r="D486">
        <v>0</v>
      </c>
      <c r="E486" t="b">
        <f>IF(energia[[#This Row],[Zrodla_wiatrowe]]&gt;C485,TRUE,FALSE)</f>
        <v>1</v>
      </c>
      <c r="F486">
        <f>IF(energia[[#This Row],[Czy wiatr rosło]],F485+1,1)</f>
        <v>6</v>
      </c>
      <c r="G486">
        <v>1900.37</v>
      </c>
      <c r="H486" s="6">
        <f>(energia[[#This Row],[Zrodla_wiatrowe]]+energia[[#This Row],[Zrodla_fotowoltaiczne]])</f>
        <v>1937.375</v>
      </c>
      <c r="I486" s="6">
        <f>I485+energia[[#This Row],[Łączna produkcja]]-energia[[#This Row],[Zapotrzebowanie]]</f>
        <v>228965.606</v>
      </c>
      <c r="J486" t="b">
        <f>IF(energia[[#This Row],[Magazyn]]&lt;0,TRUE,FALSE)</f>
        <v>0</v>
      </c>
    </row>
    <row r="487" spans="1:10" x14ac:dyDescent="0.3">
      <c r="A487" s="1">
        <v>45403</v>
      </c>
      <c r="B487">
        <v>6</v>
      </c>
      <c r="C487">
        <v>2067.2629999999999</v>
      </c>
      <c r="D487">
        <v>38.700000000000003</v>
      </c>
      <c r="E487" t="b">
        <f>IF(energia[[#This Row],[Zrodla_wiatrowe]]&gt;C486,TRUE,FALSE)</f>
        <v>1</v>
      </c>
      <c r="F487">
        <f>IF(energia[[#This Row],[Czy wiatr rosło]],F486+1,1)</f>
        <v>7</v>
      </c>
      <c r="G487">
        <v>3147.076</v>
      </c>
      <c r="H487" s="6">
        <f>(energia[[#This Row],[Zrodla_wiatrowe]]+energia[[#This Row],[Zrodla_fotowoltaiczne]])</f>
        <v>2105.9629999999997</v>
      </c>
      <c r="I487" s="6">
        <f>I486+energia[[#This Row],[Łączna produkcja]]-energia[[#This Row],[Zapotrzebowanie]]</f>
        <v>227924.49299999999</v>
      </c>
      <c r="J487" t="b">
        <f>IF(energia[[#This Row],[Magazyn]]&lt;0,TRUE,FALSE)</f>
        <v>0</v>
      </c>
    </row>
    <row r="488" spans="1:10" x14ac:dyDescent="0.3">
      <c r="A488" s="1">
        <v>45403</v>
      </c>
      <c r="B488">
        <v>7</v>
      </c>
      <c r="C488">
        <v>2184.8380000000002</v>
      </c>
      <c r="D488">
        <v>474.45</v>
      </c>
      <c r="E488" t="b">
        <f>IF(energia[[#This Row],[Zrodla_wiatrowe]]&gt;C487,TRUE,FALSE)</f>
        <v>1</v>
      </c>
      <c r="F488">
        <f>IF(energia[[#This Row],[Czy wiatr rosło]],F487+1,1)</f>
        <v>8</v>
      </c>
      <c r="G488">
        <v>4287.0569999999998</v>
      </c>
      <c r="H488" s="6">
        <f>(energia[[#This Row],[Zrodla_wiatrowe]]+energia[[#This Row],[Zrodla_fotowoltaiczne]])</f>
        <v>2659.288</v>
      </c>
      <c r="I488" s="6">
        <f>I487+energia[[#This Row],[Łączna produkcja]]-energia[[#This Row],[Zapotrzebowanie]]</f>
        <v>226296.72399999999</v>
      </c>
      <c r="J488" t="b">
        <f>IF(energia[[#This Row],[Magazyn]]&lt;0,TRUE,FALSE)</f>
        <v>0</v>
      </c>
    </row>
    <row r="489" spans="1:10" x14ac:dyDescent="0.3">
      <c r="A489" s="1">
        <v>45403</v>
      </c>
      <c r="B489">
        <v>8</v>
      </c>
      <c r="C489">
        <v>1934.588</v>
      </c>
      <c r="D489">
        <v>1766.1880000000001</v>
      </c>
      <c r="E489" t="b">
        <f>IF(energia[[#This Row],[Zrodla_wiatrowe]]&gt;C488,TRUE,FALSE)</f>
        <v>0</v>
      </c>
      <c r="F489">
        <f>IF(energia[[#This Row],[Czy wiatr rosło]],F488+1,1)</f>
        <v>1</v>
      </c>
      <c r="G489">
        <v>6341.1970000000001</v>
      </c>
      <c r="H489" s="6">
        <f>(energia[[#This Row],[Zrodla_wiatrowe]]+energia[[#This Row],[Zrodla_fotowoltaiczne]])</f>
        <v>3700.7759999999998</v>
      </c>
      <c r="I489" s="6">
        <f>I488+energia[[#This Row],[Łączna produkcja]]-energia[[#This Row],[Zapotrzebowanie]]</f>
        <v>223656.30300000001</v>
      </c>
      <c r="J489" t="b">
        <f>IF(energia[[#This Row],[Magazyn]]&lt;0,TRUE,FALSE)</f>
        <v>0</v>
      </c>
    </row>
    <row r="490" spans="1:10" x14ac:dyDescent="0.3">
      <c r="A490" s="1">
        <v>45403</v>
      </c>
      <c r="B490">
        <v>9</v>
      </c>
      <c r="C490">
        <v>1946.1130000000001</v>
      </c>
      <c r="D490">
        <v>3378.413</v>
      </c>
      <c r="E490" t="b">
        <f>IF(energia[[#This Row],[Zrodla_wiatrowe]]&gt;C489,TRUE,FALSE)</f>
        <v>1</v>
      </c>
      <c r="F490">
        <f>IF(energia[[#This Row],[Czy wiatr rosło]],F489+1,1)</f>
        <v>2</v>
      </c>
      <c r="G490">
        <v>7102.1360000000004</v>
      </c>
      <c r="H490" s="6">
        <f>(energia[[#This Row],[Zrodla_wiatrowe]]+energia[[#This Row],[Zrodla_fotowoltaiczne]])</f>
        <v>5324.5259999999998</v>
      </c>
      <c r="I490" s="6">
        <f>I489+energia[[#This Row],[Łączna produkcja]]-energia[[#This Row],[Zapotrzebowanie]]</f>
        <v>221878.69300000003</v>
      </c>
      <c r="J490" t="b">
        <f>IF(energia[[#This Row],[Magazyn]]&lt;0,TRUE,FALSE)</f>
        <v>0</v>
      </c>
    </row>
    <row r="491" spans="1:10" x14ac:dyDescent="0.3">
      <c r="A491" s="1">
        <v>45403</v>
      </c>
      <c r="B491">
        <v>10</v>
      </c>
      <c r="C491">
        <v>2419.8380000000002</v>
      </c>
      <c r="D491">
        <v>4721.9629999999997</v>
      </c>
      <c r="E491" t="b">
        <f>IF(energia[[#This Row],[Zrodla_wiatrowe]]&gt;C490,TRUE,FALSE)</f>
        <v>1</v>
      </c>
      <c r="F491">
        <f>IF(energia[[#This Row],[Czy wiatr rosło]],F490+1,1)</f>
        <v>3</v>
      </c>
      <c r="G491">
        <v>7926.8310000000001</v>
      </c>
      <c r="H491" s="6">
        <f>(energia[[#This Row],[Zrodla_wiatrowe]]+energia[[#This Row],[Zrodla_fotowoltaiczne]])</f>
        <v>7141.8009999999995</v>
      </c>
      <c r="I491" s="6">
        <f>I490+energia[[#This Row],[Łączna produkcja]]-energia[[#This Row],[Zapotrzebowanie]]</f>
        <v>221093.66300000003</v>
      </c>
      <c r="J491" t="b">
        <f>IF(energia[[#This Row],[Magazyn]]&lt;0,TRUE,FALSE)</f>
        <v>0</v>
      </c>
    </row>
    <row r="492" spans="1:10" x14ac:dyDescent="0.3">
      <c r="A492" s="1">
        <v>45403</v>
      </c>
      <c r="B492">
        <v>11</v>
      </c>
      <c r="C492">
        <v>2898.95</v>
      </c>
      <c r="D492">
        <v>5160.4629999999997</v>
      </c>
      <c r="E492" t="b">
        <f>IF(energia[[#This Row],[Zrodla_wiatrowe]]&gt;C491,TRUE,FALSE)</f>
        <v>1</v>
      </c>
      <c r="F492">
        <f>IF(energia[[#This Row],[Czy wiatr rosło]],F491+1,1)</f>
        <v>4</v>
      </c>
      <c r="G492">
        <v>7904.56</v>
      </c>
      <c r="H492" s="6">
        <f>(energia[[#This Row],[Zrodla_wiatrowe]]+energia[[#This Row],[Zrodla_fotowoltaiczne]])</f>
        <v>8059.4129999999996</v>
      </c>
      <c r="I492" s="6">
        <f>I491+energia[[#This Row],[Łączna produkcja]]-energia[[#This Row],[Zapotrzebowanie]]</f>
        <v>221248.51600000003</v>
      </c>
      <c r="J492" t="b">
        <f>IF(energia[[#This Row],[Magazyn]]&lt;0,TRUE,FALSE)</f>
        <v>0</v>
      </c>
    </row>
    <row r="493" spans="1:10" x14ac:dyDescent="0.3">
      <c r="A493" s="1">
        <v>45403</v>
      </c>
      <c r="B493">
        <v>12</v>
      </c>
      <c r="C493">
        <v>3274.163</v>
      </c>
      <c r="D493">
        <v>5038.2629999999999</v>
      </c>
      <c r="E493" t="b">
        <f>IF(energia[[#This Row],[Zrodla_wiatrowe]]&gt;C492,TRUE,FALSE)</f>
        <v>1</v>
      </c>
      <c r="F493">
        <f>IF(energia[[#This Row],[Czy wiatr rosło]],F492+1,1)</f>
        <v>5</v>
      </c>
      <c r="G493">
        <v>8035.9189999999999</v>
      </c>
      <c r="H493" s="6">
        <f>(energia[[#This Row],[Zrodla_wiatrowe]]+energia[[#This Row],[Zrodla_fotowoltaiczne]])</f>
        <v>8312.4259999999995</v>
      </c>
      <c r="I493" s="6">
        <f>I492+energia[[#This Row],[Łączna produkcja]]-energia[[#This Row],[Zapotrzebowanie]]</f>
        <v>221525.02300000004</v>
      </c>
      <c r="J493" t="b">
        <f>IF(energia[[#This Row],[Magazyn]]&lt;0,TRUE,FALSE)</f>
        <v>0</v>
      </c>
    </row>
    <row r="494" spans="1:10" x14ac:dyDescent="0.3">
      <c r="A494" s="1">
        <v>45403</v>
      </c>
      <c r="B494">
        <v>13</v>
      </c>
      <c r="C494">
        <v>3595.8380000000002</v>
      </c>
      <c r="D494">
        <v>4713.7879999999996</v>
      </c>
      <c r="E494" t="b">
        <f>IF(energia[[#This Row],[Zrodla_wiatrowe]]&gt;C493,TRUE,FALSE)</f>
        <v>1</v>
      </c>
      <c r="F494">
        <f>IF(energia[[#This Row],[Czy wiatr rosło]],F493+1,1)</f>
        <v>6</v>
      </c>
      <c r="G494">
        <v>8371.77</v>
      </c>
      <c r="H494" s="6">
        <f>(energia[[#This Row],[Zrodla_wiatrowe]]+energia[[#This Row],[Zrodla_fotowoltaiczne]])</f>
        <v>8309.6260000000002</v>
      </c>
      <c r="I494" s="6">
        <f>I493+energia[[#This Row],[Łączna produkcja]]-energia[[#This Row],[Zapotrzebowanie]]</f>
        <v>221462.87900000004</v>
      </c>
      <c r="J494" t="b">
        <f>IF(energia[[#This Row],[Magazyn]]&lt;0,TRUE,FALSE)</f>
        <v>0</v>
      </c>
    </row>
    <row r="495" spans="1:10" x14ac:dyDescent="0.3">
      <c r="A495" s="1">
        <v>45403</v>
      </c>
      <c r="B495">
        <v>14</v>
      </c>
      <c r="C495">
        <v>3973.15</v>
      </c>
      <c r="D495">
        <v>4531.9250000000002</v>
      </c>
      <c r="E495" t="b">
        <f>IF(energia[[#This Row],[Zrodla_wiatrowe]]&gt;C494,TRUE,FALSE)</f>
        <v>1</v>
      </c>
      <c r="F495">
        <f>IF(energia[[#This Row],[Czy wiatr rosło]],F494+1,1)</f>
        <v>7</v>
      </c>
      <c r="G495">
        <v>7909.1390000000001</v>
      </c>
      <c r="H495" s="6">
        <f>(energia[[#This Row],[Zrodla_wiatrowe]]+energia[[#This Row],[Zrodla_fotowoltaiczne]])</f>
        <v>8505.0750000000007</v>
      </c>
      <c r="I495" s="6">
        <f>I494+energia[[#This Row],[Łączna produkcja]]-energia[[#This Row],[Zapotrzebowanie]]</f>
        <v>222058.81500000006</v>
      </c>
      <c r="J495" t="b">
        <f>IF(energia[[#This Row],[Magazyn]]&lt;0,TRUE,FALSE)</f>
        <v>0</v>
      </c>
    </row>
    <row r="496" spans="1:10" x14ac:dyDescent="0.3">
      <c r="A496" s="1">
        <v>45403</v>
      </c>
      <c r="B496">
        <v>15</v>
      </c>
      <c r="C496">
        <v>4240.5249999999996</v>
      </c>
      <c r="D496">
        <v>4170.3500000000004</v>
      </c>
      <c r="E496" t="b">
        <f>IF(energia[[#This Row],[Zrodla_wiatrowe]]&gt;C495,TRUE,FALSE)</f>
        <v>1</v>
      </c>
      <c r="F496">
        <f>IF(energia[[#This Row],[Czy wiatr rosło]],F495+1,1)</f>
        <v>8</v>
      </c>
      <c r="G496">
        <v>8153.5410000000002</v>
      </c>
      <c r="H496" s="6">
        <f>(energia[[#This Row],[Zrodla_wiatrowe]]+energia[[#This Row],[Zrodla_fotowoltaiczne]])</f>
        <v>8410.875</v>
      </c>
      <c r="I496" s="6">
        <f>I495+energia[[#This Row],[Łączna produkcja]]-energia[[#This Row],[Zapotrzebowanie]]</f>
        <v>222316.14900000006</v>
      </c>
      <c r="J496" t="b">
        <f>IF(energia[[#This Row],[Magazyn]]&lt;0,TRUE,FALSE)</f>
        <v>0</v>
      </c>
    </row>
    <row r="497" spans="1:10" x14ac:dyDescent="0.3">
      <c r="A497" s="1">
        <v>45403</v>
      </c>
      <c r="B497">
        <v>16</v>
      </c>
      <c r="C497">
        <v>4450.5879999999997</v>
      </c>
      <c r="D497">
        <v>3515.0630000000001</v>
      </c>
      <c r="E497" t="b">
        <f>IF(energia[[#This Row],[Zrodla_wiatrowe]]&gt;C496,TRUE,FALSE)</f>
        <v>1</v>
      </c>
      <c r="F497">
        <f>IF(energia[[#This Row],[Czy wiatr rosło]],F496+1,1)</f>
        <v>9</v>
      </c>
      <c r="G497">
        <v>8211.6190000000006</v>
      </c>
      <c r="H497" s="6">
        <f>(energia[[#This Row],[Zrodla_wiatrowe]]+energia[[#This Row],[Zrodla_fotowoltaiczne]])</f>
        <v>7965.6509999999998</v>
      </c>
      <c r="I497" s="6">
        <f>I496+energia[[#This Row],[Łączna produkcja]]-energia[[#This Row],[Zapotrzebowanie]]</f>
        <v>222070.18100000007</v>
      </c>
      <c r="J497" t="b">
        <f>IF(energia[[#This Row],[Magazyn]]&lt;0,TRUE,FALSE)</f>
        <v>0</v>
      </c>
    </row>
    <row r="498" spans="1:10" x14ac:dyDescent="0.3">
      <c r="A498" s="1">
        <v>45403</v>
      </c>
      <c r="B498">
        <v>17</v>
      </c>
      <c r="C498">
        <v>4511.9629999999997</v>
      </c>
      <c r="D498">
        <v>2743.9879999999998</v>
      </c>
      <c r="E498" t="b">
        <f>IF(energia[[#This Row],[Zrodla_wiatrowe]]&gt;C497,TRUE,FALSE)</f>
        <v>1</v>
      </c>
      <c r="F498">
        <f>IF(energia[[#This Row],[Czy wiatr rosło]],F497+1,1)</f>
        <v>10</v>
      </c>
      <c r="G498">
        <v>7923.8</v>
      </c>
      <c r="H498" s="6">
        <f>(energia[[#This Row],[Zrodla_wiatrowe]]+energia[[#This Row],[Zrodla_fotowoltaiczne]])</f>
        <v>7255.9509999999991</v>
      </c>
      <c r="I498" s="6">
        <f>I497+energia[[#This Row],[Łączna produkcja]]-energia[[#This Row],[Zapotrzebowanie]]</f>
        <v>221402.33200000008</v>
      </c>
      <c r="J498" t="b">
        <f>IF(energia[[#This Row],[Magazyn]]&lt;0,TRUE,FALSE)</f>
        <v>0</v>
      </c>
    </row>
    <row r="499" spans="1:10" x14ac:dyDescent="0.3">
      <c r="A499" s="1">
        <v>45403</v>
      </c>
      <c r="B499">
        <v>18</v>
      </c>
      <c r="C499">
        <v>4392.3630000000003</v>
      </c>
      <c r="D499">
        <v>1887.788</v>
      </c>
      <c r="E499" t="b">
        <f>IF(energia[[#This Row],[Zrodla_wiatrowe]]&gt;C498,TRUE,FALSE)</f>
        <v>0</v>
      </c>
      <c r="F499">
        <f>IF(energia[[#This Row],[Czy wiatr rosło]],F498+1,1)</f>
        <v>1</v>
      </c>
      <c r="G499">
        <v>7275.4160000000002</v>
      </c>
      <c r="H499" s="6">
        <f>(energia[[#This Row],[Zrodla_wiatrowe]]+energia[[#This Row],[Zrodla_fotowoltaiczne]])</f>
        <v>6280.1509999999998</v>
      </c>
      <c r="I499" s="6">
        <f>I498+energia[[#This Row],[Łączna produkcja]]-energia[[#This Row],[Zapotrzebowanie]]</f>
        <v>220407.0670000001</v>
      </c>
      <c r="J499" t="b">
        <f>IF(energia[[#This Row],[Magazyn]]&lt;0,TRUE,FALSE)</f>
        <v>0</v>
      </c>
    </row>
    <row r="500" spans="1:10" x14ac:dyDescent="0.3">
      <c r="A500" s="1">
        <v>45403</v>
      </c>
      <c r="B500">
        <v>19</v>
      </c>
      <c r="C500">
        <v>4057.6880000000001</v>
      </c>
      <c r="D500">
        <v>909.85</v>
      </c>
      <c r="E500" t="b">
        <f>IF(energia[[#This Row],[Zrodla_wiatrowe]]&gt;C499,TRUE,FALSE)</f>
        <v>0</v>
      </c>
      <c r="F500">
        <f>IF(energia[[#This Row],[Czy wiatr rosło]],F499+1,1)</f>
        <v>1</v>
      </c>
      <c r="G500">
        <v>6501.5910000000003</v>
      </c>
      <c r="H500" s="6">
        <f>(energia[[#This Row],[Zrodla_wiatrowe]]+energia[[#This Row],[Zrodla_fotowoltaiczne]])</f>
        <v>4967.5380000000005</v>
      </c>
      <c r="I500" s="6">
        <f>I499+energia[[#This Row],[Łączna produkcja]]-energia[[#This Row],[Zapotrzebowanie]]</f>
        <v>218873.01400000008</v>
      </c>
      <c r="J500" t="b">
        <f>IF(energia[[#This Row],[Magazyn]]&lt;0,TRUE,FALSE)</f>
        <v>0</v>
      </c>
    </row>
    <row r="501" spans="1:10" x14ac:dyDescent="0.3">
      <c r="A501" s="1">
        <v>45403</v>
      </c>
      <c r="B501">
        <v>20</v>
      </c>
      <c r="C501">
        <v>3567.875</v>
      </c>
      <c r="D501">
        <v>212.28800000000001</v>
      </c>
      <c r="E501" t="b">
        <f>IF(energia[[#This Row],[Zrodla_wiatrowe]]&gt;C500,TRUE,FALSE)</f>
        <v>0</v>
      </c>
      <c r="F501">
        <f>IF(energia[[#This Row],[Czy wiatr rosło]],F500+1,1)</f>
        <v>1</v>
      </c>
      <c r="G501">
        <v>6325.5749999999998</v>
      </c>
      <c r="H501" s="6">
        <f>(energia[[#This Row],[Zrodla_wiatrowe]]+energia[[#This Row],[Zrodla_fotowoltaiczne]])</f>
        <v>3780.163</v>
      </c>
      <c r="I501" s="6">
        <f>I500+energia[[#This Row],[Łączna produkcja]]-energia[[#This Row],[Zapotrzebowanie]]</f>
        <v>216327.60200000007</v>
      </c>
      <c r="J501" t="b">
        <f>IF(energia[[#This Row],[Magazyn]]&lt;0,TRUE,FALSE)</f>
        <v>0</v>
      </c>
    </row>
    <row r="502" spans="1:10" x14ac:dyDescent="0.3">
      <c r="A502" s="1">
        <v>45403</v>
      </c>
      <c r="B502">
        <v>21</v>
      </c>
      <c r="C502">
        <v>3013.4380000000001</v>
      </c>
      <c r="D502">
        <v>6.1</v>
      </c>
      <c r="E502" t="b">
        <f>IF(energia[[#This Row],[Zrodla_wiatrowe]]&gt;C501,TRUE,FALSE)</f>
        <v>0</v>
      </c>
      <c r="F502">
        <f>IF(energia[[#This Row],[Czy wiatr rosło]],F501+1,1)</f>
        <v>1</v>
      </c>
      <c r="G502">
        <v>4915.1000000000004</v>
      </c>
      <c r="H502" s="6">
        <f>(energia[[#This Row],[Zrodla_wiatrowe]]+energia[[#This Row],[Zrodla_fotowoltaiczne]])</f>
        <v>3019.538</v>
      </c>
      <c r="I502" s="6">
        <f>I501+energia[[#This Row],[Łączna produkcja]]-energia[[#This Row],[Zapotrzebowanie]]</f>
        <v>214432.04000000007</v>
      </c>
      <c r="J502" t="b">
        <f>IF(energia[[#This Row],[Magazyn]]&lt;0,TRUE,FALSE)</f>
        <v>0</v>
      </c>
    </row>
    <row r="503" spans="1:10" x14ac:dyDescent="0.3">
      <c r="A503" s="1">
        <v>45403</v>
      </c>
      <c r="B503">
        <v>22</v>
      </c>
      <c r="C503">
        <v>2788.8130000000001</v>
      </c>
      <c r="D503">
        <v>0</v>
      </c>
      <c r="E503" t="b">
        <f>IF(energia[[#This Row],[Zrodla_wiatrowe]]&gt;C502,TRUE,FALSE)</f>
        <v>0</v>
      </c>
      <c r="F503">
        <f>IF(energia[[#This Row],[Czy wiatr rosło]],F502+1,1)</f>
        <v>1</v>
      </c>
      <c r="G503">
        <v>4744.1949999999997</v>
      </c>
      <c r="H503" s="6">
        <f>(energia[[#This Row],[Zrodla_wiatrowe]]+energia[[#This Row],[Zrodla_fotowoltaiczne]])</f>
        <v>2788.8130000000001</v>
      </c>
      <c r="I503" s="6">
        <f>I502+energia[[#This Row],[Łączna produkcja]]-energia[[#This Row],[Zapotrzebowanie]]</f>
        <v>212476.65800000005</v>
      </c>
      <c r="J503" t="b">
        <f>IF(energia[[#This Row],[Magazyn]]&lt;0,TRUE,FALSE)</f>
        <v>0</v>
      </c>
    </row>
    <row r="504" spans="1:10" x14ac:dyDescent="0.3">
      <c r="A504" s="1">
        <v>45403</v>
      </c>
      <c r="B504">
        <v>23</v>
      </c>
      <c r="C504">
        <v>2913.0880000000002</v>
      </c>
      <c r="D504">
        <v>0</v>
      </c>
      <c r="E504" t="b">
        <f>IF(energia[[#This Row],[Zrodla_wiatrowe]]&gt;C503,TRUE,FALSE)</f>
        <v>1</v>
      </c>
      <c r="F504">
        <f>IF(energia[[#This Row],[Czy wiatr rosło]],F503+1,1)</f>
        <v>2</v>
      </c>
      <c r="G504">
        <v>2939.0920000000001</v>
      </c>
      <c r="H504" s="6">
        <f>(energia[[#This Row],[Zrodla_wiatrowe]]+energia[[#This Row],[Zrodla_fotowoltaiczne]])</f>
        <v>2913.0880000000002</v>
      </c>
      <c r="I504" s="6">
        <f>I503+energia[[#This Row],[Łączna produkcja]]-energia[[#This Row],[Zapotrzebowanie]]</f>
        <v>212450.65400000004</v>
      </c>
      <c r="J504" t="b">
        <f>IF(energia[[#This Row],[Magazyn]]&lt;0,TRUE,FALSE)</f>
        <v>0</v>
      </c>
    </row>
    <row r="505" spans="1:10" x14ac:dyDescent="0.3">
      <c r="A505" s="1">
        <v>45403</v>
      </c>
      <c r="B505">
        <v>24</v>
      </c>
      <c r="C505">
        <v>2756.2</v>
      </c>
      <c r="D505">
        <v>0</v>
      </c>
      <c r="E505" t="b">
        <f>IF(energia[[#This Row],[Zrodla_wiatrowe]]&gt;C504,TRUE,FALSE)</f>
        <v>0</v>
      </c>
      <c r="F505">
        <f>IF(energia[[#This Row],[Czy wiatr rosło]],F504+1,1)</f>
        <v>1</v>
      </c>
      <c r="G505">
        <v>1725.6279999999999</v>
      </c>
      <c r="H505" s="6">
        <f>(energia[[#This Row],[Zrodla_wiatrowe]]+energia[[#This Row],[Zrodla_fotowoltaiczne]])</f>
        <v>2756.2</v>
      </c>
      <c r="I505" s="6">
        <f>I504+energia[[#This Row],[Łączna produkcja]]-energia[[#This Row],[Zapotrzebowanie]]</f>
        <v>213481.22600000005</v>
      </c>
      <c r="J505" t="b">
        <f>IF(energia[[#This Row],[Magazyn]]&lt;0,TRUE,FALSE)</f>
        <v>0</v>
      </c>
    </row>
    <row r="506" spans="1:10" x14ac:dyDescent="0.3">
      <c r="A506" s="1">
        <v>45404</v>
      </c>
      <c r="B506">
        <v>1</v>
      </c>
      <c r="C506">
        <v>2444.663</v>
      </c>
      <c r="D506">
        <v>0</v>
      </c>
      <c r="E506" t="b">
        <f>IF(energia[[#This Row],[Zrodla_wiatrowe]]&gt;C505,TRUE,FALSE)</f>
        <v>0</v>
      </c>
      <c r="F506">
        <f>IF(energia[[#This Row],[Czy wiatr rosło]],F505+1,1)</f>
        <v>1</v>
      </c>
      <c r="G506">
        <v>1561.84</v>
      </c>
      <c r="H506" s="6">
        <f>(energia[[#This Row],[Zrodla_wiatrowe]]+energia[[#This Row],[Zrodla_fotowoltaiczne]])</f>
        <v>2444.663</v>
      </c>
      <c r="I506" s="6">
        <f>I505+energia[[#This Row],[Łączna produkcja]]-energia[[#This Row],[Zapotrzebowanie]]</f>
        <v>214364.04900000006</v>
      </c>
      <c r="J506" t="b">
        <f>IF(energia[[#This Row],[Magazyn]]&lt;0,TRUE,FALSE)</f>
        <v>0</v>
      </c>
    </row>
    <row r="507" spans="1:10" x14ac:dyDescent="0.3">
      <c r="A507" s="1">
        <v>45404</v>
      </c>
      <c r="B507">
        <v>2</v>
      </c>
      <c r="C507">
        <v>2285.6880000000001</v>
      </c>
      <c r="D507">
        <v>0</v>
      </c>
      <c r="E507" t="b">
        <f>IF(energia[[#This Row],[Zrodla_wiatrowe]]&gt;C506,TRUE,FALSE)</f>
        <v>0</v>
      </c>
      <c r="F507">
        <f>IF(energia[[#This Row],[Czy wiatr rosło]],F506+1,1)</f>
        <v>1</v>
      </c>
      <c r="G507">
        <v>1339.0530000000001</v>
      </c>
      <c r="H507" s="6">
        <f>(energia[[#This Row],[Zrodla_wiatrowe]]+energia[[#This Row],[Zrodla_fotowoltaiczne]])</f>
        <v>2285.6880000000001</v>
      </c>
      <c r="I507" s="6">
        <f>I506+energia[[#This Row],[Łączna produkcja]]-energia[[#This Row],[Zapotrzebowanie]]</f>
        <v>215310.68400000004</v>
      </c>
      <c r="J507" t="b">
        <f>IF(energia[[#This Row],[Magazyn]]&lt;0,TRUE,FALSE)</f>
        <v>0</v>
      </c>
    </row>
    <row r="508" spans="1:10" x14ac:dyDescent="0.3">
      <c r="A508" s="1">
        <v>45404</v>
      </c>
      <c r="B508">
        <v>3</v>
      </c>
      <c r="C508">
        <v>2196.663</v>
      </c>
      <c r="D508">
        <v>0</v>
      </c>
      <c r="E508" t="b">
        <f>IF(energia[[#This Row],[Zrodla_wiatrowe]]&gt;C507,TRUE,FALSE)</f>
        <v>0</v>
      </c>
      <c r="F508">
        <f>IF(energia[[#This Row],[Czy wiatr rosło]],F507+1,1)</f>
        <v>1</v>
      </c>
      <c r="G508">
        <v>1252.3969999999999</v>
      </c>
      <c r="H508" s="6">
        <f>(energia[[#This Row],[Zrodla_wiatrowe]]+energia[[#This Row],[Zrodla_fotowoltaiczne]])</f>
        <v>2196.663</v>
      </c>
      <c r="I508" s="6">
        <f>I507+energia[[#This Row],[Łączna produkcja]]-energia[[#This Row],[Zapotrzebowanie]]</f>
        <v>216254.95000000004</v>
      </c>
      <c r="J508" t="b">
        <f>IF(energia[[#This Row],[Magazyn]]&lt;0,TRUE,FALSE)</f>
        <v>0</v>
      </c>
    </row>
    <row r="509" spans="1:10" x14ac:dyDescent="0.3">
      <c r="A509" s="1">
        <v>45404</v>
      </c>
      <c r="B509">
        <v>4</v>
      </c>
      <c r="C509">
        <v>2105.1379999999999</v>
      </c>
      <c r="D509">
        <v>0</v>
      </c>
      <c r="E509" t="b">
        <f>IF(energia[[#This Row],[Zrodla_wiatrowe]]&gt;C508,TRUE,FALSE)</f>
        <v>0</v>
      </c>
      <c r="F509">
        <f>IF(energia[[#This Row],[Czy wiatr rosło]],F508+1,1)</f>
        <v>1</v>
      </c>
      <c r="G509">
        <v>1254.9639999999999</v>
      </c>
      <c r="H509" s="6">
        <f>(energia[[#This Row],[Zrodla_wiatrowe]]+energia[[#This Row],[Zrodla_fotowoltaiczne]])</f>
        <v>2105.1379999999999</v>
      </c>
      <c r="I509" s="6">
        <f>I508+energia[[#This Row],[Łączna produkcja]]-energia[[#This Row],[Zapotrzebowanie]]</f>
        <v>217105.12400000004</v>
      </c>
      <c r="J509" t="b">
        <f>IF(energia[[#This Row],[Magazyn]]&lt;0,TRUE,FALSE)</f>
        <v>0</v>
      </c>
    </row>
    <row r="510" spans="1:10" x14ac:dyDescent="0.3">
      <c r="A510" s="1">
        <v>45404</v>
      </c>
      <c r="B510">
        <v>5</v>
      </c>
      <c r="C510">
        <v>2107.9250000000002</v>
      </c>
      <c r="D510">
        <v>0</v>
      </c>
      <c r="E510" t="b">
        <f>IF(energia[[#This Row],[Zrodla_wiatrowe]]&gt;C509,TRUE,FALSE)</f>
        <v>1</v>
      </c>
      <c r="F510">
        <f>IF(energia[[#This Row],[Czy wiatr rosło]],F509+1,1)</f>
        <v>2</v>
      </c>
      <c r="G510">
        <v>1881.366</v>
      </c>
      <c r="H510" s="6">
        <f>(energia[[#This Row],[Zrodla_wiatrowe]]+energia[[#This Row],[Zrodla_fotowoltaiczne]])</f>
        <v>2107.9250000000002</v>
      </c>
      <c r="I510" s="6">
        <f>I509+energia[[#This Row],[Łączna produkcja]]-energia[[#This Row],[Zapotrzebowanie]]</f>
        <v>217331.68300000002</v>
      </c>
      <c r="J510" t="b">
        <f>IF(energia[[#This Row],[Magazyn]]&lt;0,TRUE,FALSE)</f>
        <v>0</v>
      </c>
    </row>
    <row r="511" spans="1:10" x14ac:dyDescent="0.3">
      <c r="A511" s="1">
        <v>45404</v>
      </c>
      <c r="B511">
        <v>6</v>
      </c>
      <c r="C511">
        <v>2172.9380000000001</v>
      </c>
      <c r="D511">
        <v>56.024999999999999</v>
      </c>
      <c r="E511" t="b">
        <f>IF(energia[[#This Row],[Zrodla_wiatrowe]]&gt;C510,TRUE,FALSE)</f>
        <v>1</v>
      </c>
      <c r="F511">
        <f>IF(energia[[#This Row],[Czy wiatr rosło]],F510+1,1)</f>
        <v>3</v>
      </c>
      <c r="G511">
        <v>3115.605</v>
      </c>
      <c r="H511" s="6">
        <f>(energia[[#This Row],[Zrodla_wiatrowe]]+energia[[#This Row],[Zrodla_fotowoltaiczne]])</f>
        <v>2228.9630000000002</v>
      </c>
      <c r="I511" s="6">
        <f>I510+energia[[#This Row],[Łączna produkcja]]-energia[[#This Row],[Zapotrzebowanie]]</f>
        <v>216445.041</v>
      </c>
      <c r="J511" t="b">
        <f>IF(energia[[#This Row],[Magazyn]]&lt;0,TRUE,FALSE)</f>
        <v>0</v>
      </c>
    </row>
    <row r="512" spans="1:10" x14ac:dyDescent="0.3">
      <c r="A512" s="1">
        <v>45404</v>
      </c>
      <c r="B512">
        <v>7</v>
      </c>
      <c r="C512">
        <v>2164.1129999999998</v>
      </c>
      <c r="D512">
        <v>442.78800000000001</v>
      </c>
      <c r="E512" t="b">
        <f>IF(energia[[#This Row],[Zrodla_wiatrowe]]&gt;C511,TRUE,FALSE)</f>
        <v>0</v>
      </c>
      <c r="F512">
        <f>IF(energia[[#This Row],[Czy wiatr rosło]],F511+1,1)</f>
        <v>1</v>
      </c>
      <c r="G512">
        <v>4244.1859999999997</v>
      </c>
      <c r="H512" s="6">
        <f>(energia[[#This Row],[Zrodla_wiatrowe]]+energia[[#This Row],[Zrodla_fotowoltaiczne]])</f>
        <v>2606.9009999999998</v>
      </c>
      <c r="I512" s="6">
        <f>I511+energia[[#This Row],[Łączna produkcja]]-energia[[#This Row],[Zapotrzebowanie]]</f>
        <v>214807.75600000002</v>
      </c>
      <c r="J512" t="b">
        <f>IF(energia[[#This Row],[Magazyn]]&lt;0,TRUE,FALSE)</f>
        <v>0</v>
      </c>
    </row>
    <row r="513" spans="1:10" x14ac:dyDescent="0.3">
      <c r="A513" s="1">
        <v>45404</v>
      </c>
      <c r="B513">
        <v>8</v>
      </c>
      <c r="C513">
        <v>2141</v>
      </c>
      <c r="D513">
        <v>1446.9</v>
      </c>
      <c r="E513" t="b">
        <f>IF(energia[[#This Row],[Zrodla_wiatrowe]]&gt;C512,TRUE,FALSE)</f>
        <v>0</v>
      </c>
      <c r="F513">
        <f>IF(energia[[#This Row],[Czy wiatr rosło]],F512+1,1)</f>
        <v>1</v>
      </c>
      <c r="G513">
        <v>6150.9610000000002</v>
      </c>
      <c r="H513" s="6">
        <f>(energia[[#This Row],[Zrodla_wiatrowe]]+energia[[#This Row],[Zrodla_fotowoltaiczne]])</f>
        <v>3587.9</v>
      </c>
      <c r="I513" s="6">
        <f>I512+energia[[#This Row],[Łączna produkcja]]-energia[[#This Row],[Zapotrzebowanie]]</f>
        <v>212244.69500000001</v>
      </c>
      <c r="J513" t="b">
        <f>IF(energia[[#This Row],[Magazyn]]&lt;0,TRUE,FALSE)</f>
        <v>0</v>
      </c>
    </row>
    <row r="514" spans="1:10" x14ac:dyDescent="0.3">
      <c r="A514" s="1">
        <v>45404</v>
      </c>
      <c r="B514">
        <v>9</v>
      </c>
      <c r="C514">
        <v>2122.288</v>
      </c>
      <c r="D514">
        <v>2735.5880000000002</v>
      </c>
      <c r="E514" t="b">
        <f>IF(energia[[#This Row],[Zrodla_wiatrowe]]&gt;C513,TRUE,FALSE)</f>
        <v>0</v>
      </c>
      <c r="F514">
        <f>IF(energia[[#This Row],[Czy wiatr rosło]],F513+1,1)</f>
        <v>1</v>
      </c>
      <c r="G514">
        <v>6889.0720000000001</v>
      </c>
      <c r="H514" s="6">
        <f>(energia[[#This Row],[Zrodla_wiatrowe]]+energia[[#This Row],[Zrodla_fotowoltaiczne]])</f>
        <v>4857.8760000000002</v>
      </c>
      <c r="I514" s="6">
        <f>I513+energia[[#This Row],[Łączna produkcja]]-energia[[#This Row],[Zapotrzebowanie]]</f>
        <v>210213.49900000001</v>
      </c>
      <c r="J514" t="b">
        <f>IF(energia[[#This Row],[Magazyn]]&lt;0,TRUE,FALSE)</f>
        <v>0</v>
      </c>
    </row>
    <row r="515" spans="1:10" x14ac:dyDescent="0.3">
      <c r="A515" s="1">
        <v>45404</v>
      </c>
      <c r="B515">
        <v>10</v>
      </c>
      <c r="C515">
        <v>2205.788</v>
      </c>
      <c r="D515">
        <v>3847.4630000000002</v>
      </c>
      <c r="E515" t="b">
        <f>IF(energia[[#This Row],[Zrodla_wiatrowe]]&gt;C514,TRUE,FALSE)</f>
        <v>1</v>
      </c>
      <c r="F515">
        <f>IF(energia[[#This Row],[Czy wiatr rosło]],F514+1,1)</f>
        <v>2</v>
      </c>
      <c r="G515">
        <v>7689.0259999999998</v>
      </c>
      <c r="H515" s="6">
        <f>(energia[[#This Row],[Zrodla_wiatrowe]]+energia[[#This Row],[Zrodla_fotowoltaiczne]])</f>
        <v>6053.2510000000002</v>
      </c>
      <c r="I515" s="6">
        <f>I514+energia[[#This Row],[Łączna produkcja]]-energia[[#This Row],[Zapotrzebowanie]]</f>
        <v>208577.72399999999</v>
      </c>
      <c r="J515" t="b">
        <f>IF(energia[[#This Row],[Magazyn]]&lt;0,TRUE,FALSE)</f>
        <v>0</v>
      </c>
    </row>
    <row r="516" spans="1:10" x14ac:dyDescent="0.3">
      <c r="A516" s="1">
        <v>45404</v>
      </c>
      <c r="B516">
        <v>11</v>
      </c>
      <c r="C516">
        <v>2236.8130000000001</v>
      </c>
      <c r="D516">
        <v>4368.1379999999999</v>
      </c>
      <c r="E516" t="b">
        <f>IF(energia[[#This Row],[Zrodla_wiatrowe]]&gt;C515,TRUE,FALSE)</f>
        <v>1</v>
      </c>
      <c r="F516">
        <f>IF(energia[[#This Row],[Czy wiatr rosło]],F515+1,1)</f>
        <v>3</v>
      </c>
      <c r="G516">
        <v>7667.4229999999998</v>
      </c>
      <c r="H516" s="6">
        <f>(energia[[#This Row],[Zrodla_wiatrowe]]+energia[[#This Row],[Zrodla_fotowoltaiczne]])</f>
        <v>6604.951</v>
      </c>
      <c r="I516" s="6">
        <f>I515+energia[[#This Row],[Łączna produkcja]]-energia[[#This Row],[Zapotrzebowanie]]</f>
        <v>207515.25199999998</v>
      </c>
      <c r="J516" t="b">
        <f>IF(energia[[#This Row],[Magazyn]]&lt;0,TRUE,FALSE)</f>
        <v>0</v>
      </c>
    </row>
    <row r="517" spans="1:10" x14ac:dyDescent="0.3">
      <c r="A517" s="1">
        <v>45404</v>
      </c>
      <c r="B517">
        <v>12</v>
      </c>
      <c r="C517">
        <v>2309.5500000000002</v>
      </c>
      <c r="D517">
        <v>4245.9380000000001</v>
      </c>
      <c r="E517" t="b">
        <f>IF(energia[[#This Row],[Zrodla_wiatrowe]]&gt;C516,TRUE,FALSE)</f>
        <v>1</v>
      </c>
      <c r="F517">
        <f>IF(energia[[#This Row],[Czy wiatr rosło]],F516+1,1)</f>
        <v>4</v>
      </c>
      <c r="G517">
        <v>7794.8419999999996</v>
      </c>
      <c r="H517" s="6">
        <f>(energia[[#This Row],[Zrodla_wiatrowe]]+energia[[#This Row],[Zrodla_fotowoltaiczne]])</f>
        <v>6555.4880000000003</v>
      </c>
      <c r="I517" s="6">
        <f>I516+energia[[#This Row],[Łączna produkcja]]-energia[[#This Row],[Zapotrzebowanie]]</f>
        <v>206275.89799999999</v>
      </c>
      <c r="J517" t="b">
        <f>IF(energia[[#This Row],[Magazyn]]&lt;0,TRUE,FALSE)</f>
        <v>0</v>
      </c>
    </row>
    <row r="518" spans="1:10" x14ac:dyDescent="0.3">
      <c r="A518" s="1">
        <v>45404</v>
      </c>
      <c r="B518">
        <v>13</v>
      </c>
      <c r="C518">
        <v>2168.6129999999998</v>
      </c>
      <c r="D518">
        <v>4059.038</v>
      </c>
      <c r="E518" t="b">
        <f>IF(energia[[#This Row],[Zrodla_wiatrowe]]&gt;C517,TRUE,FALSE)</f>
        <v>0</v>
      </c>
      <c r="F518">
        <f>IF(energia[[#This Row],[Czy wiatr rosło]],F517+1,1)</f>
        <v>1</v>
      </c>
      <c r="G518">
        <v>8120.6170000000002</v>
      </c>
      <c r="H518" s="6">
        <f>(energia[[#This Row],[Zrodla_wiatrowe]]+energia[[#This Row],[Zrodla_fotowoltaiczne]])</f>
        <v>6227.6509999999998</v>
      </c>
      <c r="I518" s="6">
        <f>I517+energia[[#This Row],[Łączna produkcja]]-energia[[#This Row],[Zapotrzebowanie]]</f>
        <v>204382.932</v>
      </c>
      <c r="J518" t="b">
        <f>IF(energia[[#This Row],[Magazyn]]&lt;0,TRUE,FALSE)</f>
        <v>0</v>
      </c>
    </row>
    <row r="519" spans="1:10" x14ac:dyDescent="0.3">
      <c r="A519" s="1">
        <v>45404</v>
      </c>
      <c r="B519">
        <v>14</v>
      </c>
      <c r="C519">
        <v>2051.375</v>
      </c>
      <c r="D519">
        <v>3880.1750000000002</v>
      </c>
      <c r="E519" t="b">
        <f>IF(energia[[#This Row],[Zrodla_wiatrowe]]&gt;C518,TRUE,FALSE)</f>
        <v>0</v>
      </c>
      <c r="F519">
        <f>IF(energia[[#This Row],[Czy wiatr rosło]],F518+1,1)</f>
        <v>1</v>
      </c>
      <c r="G519">
        <v>7671.8649999999998</v>
      </c>
      <c r="H519" s="6">
        <f>(energia[[#This Row],[Zrodla_wiatrowe]]+energia[[#This Row],[Zrodla_fotowoltaiczne]])</f>
        <v>5931.55</v>
      </c>
      <c r="I519" s="6">
        <f>I518+energia[[#This Row],[Łączna produkcja]]-energia[[#This Row],[Zapotrzebowanie]]</f>
        <v>202642.617</v>
      </c>
      <c r="J519" t="b">
        <f>IF(energia[[#This Row],[Magazyn]]&lt;0,TRUE,FALSE)</f>
        <v>0</v>
      </c>
    </row>
    <row r="520" spans="1:10" x14ac:dyDescent="0.3">
      <c r="A520" s="1">
        <v>45404</v>
      </c>
      <c r="B520">
        <v>15</v>
      </c>
      <c r="C520">
        <v>1815.825</v>
      </c>
      <c r="D520">
        <v>3558.1129999999998</v>
      </c>
      <c r="E520" t="b">
        <f>IF(energia[[#This Row],[Zrodla_wiatrowe]]&gt;C519,TRUE,FALSE)</f>
        <v>0</v>
      </c>
      <c r="F520">
        <f>IF(energia[[#This Row],[Czy wiatr rosło]],F519+1,1)</f>
        <v>1</v>
      </c>
      <c r="G520">
        <v>7908.9350000000004</v>
      </c>
      <c r="H520" s="6">
        <f>(energia[[#This Row],[Zrodla_wiatrowe]]+energia[[#This Row],[Zrodla_fotowoltaiczne]])</f>
        <v>5373.9380000000001</v>
      </c>
      <c r="I520" s="6">
        <f>I519+energia[[#This Row],[Łączna produkcja]]-energia[[#This Row],[Zapotrzebowanie]]</f>
        <v>200107.62</v>
      </c>
      <c r="J520" t="b">
        <f>IF(energia[[#This Row],[Magazyn]]&lt;0,TRUE,FALSE)</f>
        <v>0</v>
      </c>
    </row>
    <row r="521" spans="1:10" x14ac:dyDescent="0.3">
      <c r="A521" s="1">
        <v>45404</v>
      </c>
      <c r="B521">
        <v>16</v>
      </c>
      <c r="C521">
        <v>1594.1379999999999</v>
      </c>
      <c r="D521">
        <v>3103.875</v>
      </c>
      <c r="E521" t="b">
        <f>IF(energia[[#This Row],[Zrodla_wiatrowe]]&gt;C520,TRUE,FALSE)</f>
        <v>0</v>
      </c>
      <c r="F521">
        <f>IF(energia[[#This Row],[Czy wiatr rosło]],F520+1,1)</f>
        <v>1</v>
      </c>
      <c r="G521">
        <v>8129.5029999999997</v>
      </c>
      <c r="H521" s="6">
        <f>(energia[[#This Row],[Zrodla_wiatrowe]]+energia[[#This Row],[Zrodla_fotowoltaiczne]])</f>
        <v>4698.0129999999999</v>
      </c>
      <c r="I521" s="6">
        <f>I520+energia[[#This Row],[Łączna produkcja]]-energia[[#This Row],[Zapotrzebowanie]]</f>
        <v>196676.13</v>
      </c>
      <c r="J521" t="b">
        <f>IF(energia[[#This Row],[Magazyn]]&lt;0,TRUE,FALSE)</f>
        <v>0</v>
      </c>
    </row>
    <row r="522" spans="1:10" x14ac:dyDescent="0.3">
      <c r="A522" s="1">
        <v>45404</v>
      </c>
      <c r="B522">
        <v>17</v>
      </c>
      <c r="C522">
        <v>1369.25</v>
      </c>
      <c r="D522">
        <v>2497.6129999999998</v>
      </c>
      <c r="E522" t="b">
        <f>IF(energia[[#This Row],[Zrodla_wiatrowe]]&gt;C521,TRUE,FALSE)</f>
        <v>0</v>
      </c>
      <c r="F522">
        <f>IF(energia[[#This Row],[Czy wiatr rosło]],F521+1,1)</f>
        <v>1</v>
      </c>
      <c r="G522">
        <v>7844.5619999999999</v>
      </c>
      <c r="H522" s="6">
        <f>(energia[[#This Row],[Zrodla_wiatrowe]]+energia[[#This Row],[Zrodla_fotowoltaiczne]])</f>
        <v>3866.8629999999998</v>
      </c>
      <c r="I522" s="6">
        <f>I521+energia[[#This Row],[Łączna produkcja]]-energia[[#This Row],[Zapotrzebowanie]]</f>
        <v>192698.43100000001</v>
      </c>
      <c r="J522" t="b">
        <f>IF(energia[[#This Row],[Magazyn]]&lt;0,TRUE,FALSE)</f>
        <v>0</v>
      </c>
    </row>
    <row r="523" spans="1:10" x14ac:dyDescent="0.3">
      <c r="A523" s="1">
        <v>45404</v>
      </c>
      <c r="B523">
        <v>18</v>
      </c>
      <c r="C523">
        <v>1099.7249999999999</v>
      </c>
      <c r="D523">
        <v>1671.1130000000001</v>
      </c>
      <c r="E523" t="b">
        <f>IF(energia[[#This Row],[Zrodla_wiatrowe]]&gt;C522,TRUE,FALSE)</f>
        <v>0</v>
      </c>
      <c r="F523">
        <f>IF(energia[[#This Row],[Czy wiatr rosło]],F522+1,1)</f>
        <v>1</v>
      </c>
      <c r="G523">
        <v>7202.6610000000001</v>
      </c>
      <c r="H523" s="6">
        <f>(energia[[#This Row],[Zrodla_wiatrowe]]+energia[[#This Row],[Zrodla_fotowoltaiczne]])</f>
        <v>2770.8379999999997</v>
      </c>
      <c r="I523" s="6">
        <f>I522+energia[[#This Row],[Łączna produkcja]]-energia[[#This Row],[Zapotrzebowanie]]</f>
        <v>188266.60800000001</v>
      </c>
      <c r="J523" t="b">
        <f>IF(energia[[#This Row],[Magazyn]]&lt;0,TRUE,FALSE)</f>
        <v>0</v>
      </c>
    </row>
    <row r="524" spans="1:10" x14ac:dyDescent="0.3">
      <c r="A524" s="1">
        <v>45404</v>
      </c>
      <c r="B524">
        <v>19</v>
      </c>
      <c r="C524">
        <v>862.26300000000003</v>
      </c>
      <c r="D524">
        <v>807.27499999999998</v>
      </c>
      <c r="E524" t="b">
        <f>IF(energia[[#This Row],[Zrodla_wiatrowe]]&gt;C523,TRUE,FALSE)</f>
        <v>0</v>
      </c>
      <c r="F524">
        <f>IF(energia[[#This Row],[Czy wiatr rosło]],F523+1,1)</f>
        <v>1</v>
      </c>
      <c r="G524">
        <v>6436.5749999999998</v>
      </c>
      <c r="H524" s="6">
        <f>(energia[[#This Row],[Zrodla_wiatrowe]]+energia[[#This Row],[Zrodla_fotowoltaiczne]])</f>
        <v>1669.538</v>
      </c>
      <c r="I524" s="6">
        <f>I523+energia[[#This Row],[Łączna produkcja]]-energia[[#This Row],[Zapotrzebowanie]]</f>
        <v>183499.571</v>
      </c>
      <c r="J524" t="b">
        <f>IF(energia[[#This Row],[Magazyn]]&lt;0,TRUE,FALSE)</f>
        <v>0</v>
      </c>
    </row>
    <row r="525" spans="1:10" x14ac:dyDescent="0.3">
      <c r="A525" s="1">
        <v>45404</v>
      </c>
      <c r="B525">
        <v>20</v>
      </c>
      <c r="C525">
        <v>603.875</v>
      </c>
      <c r="D525">
        <v>205.08799999999999</v>
      </c>
      <c r="E525" t="b">
        <f>IF(energia[[#This Row],[Zrodla_wiatrowe]]&gt;C524,TRUE,FALSE)</f>
        <v>0</v>
      </c>
      <c r="F525">
        <f>IF(energia[[#This Row],[Czy wiatr rosło]],F524+1,1)</f>
        <v>1</v>
      </c>
      <c r="G525">
        <v>6262.3190000000004</v>
      </c>
      <c r="H525" s="6">
        <f>(energia[[#This Row],[Zrodla_wiatrowe]]+energia[[#This Row],[Zrodla_fotowoltaiczne]])</f>
        <v>808.96299999999997</v>
      </c>
      <c r="I525" s="6">
        <f>I524+energia[[#This Row],[Łączna produkcja]]-energia[[#This Row],[Zapotrzebowanie]]</f>
        <v>178046.215</v>
      </c>
      <c r="J525" t="b">
        <f>IF(energia[[#This Row],[Magazyn]]&lt;0,TRUE,FALSE)</f>
        <v>0</v>
      </c>
    </row>
    <row r="526" spans="1:10" x14ac:dyDescent="0.3">
      <c r="A526" s="1">
        <v>45404</v>
      </c>
      <c r="B526">
        <v>21</v>
      </c>
      <c r="C526">
        <v>531.21299999999997</v>
      </c>
      <c r="D526">
        <v>38.024999999999999</v>
      </c>
      <c r="E526" t="b">
        <f>IF(energia[[#This Row],[Zrodla_wiatrowe]]&gt;C525,TRUE,FALSE)</f>
        <v>0</v>
      </c>
      <c r="F526">
        <f>IF(energia[[#This Row],[Czy wiatr rosło]],F525+1,1)</f>
        <v>1</v>
      </c>
      <c r="G526">
        <v>4865.9489999999996</v>
      </c>
      <c r="H526" s="6">
        <f>(energia[[#This Row],[Zrodla_wiatrowe]]+energia[[#This Row],[Zrodla_fotowoltaiczne]])</f>
        <v>569.23799999999994</v>
      </c>
      <c r="I526" s="6">
        <f>I525+energia[[#This Row],[Łączna produkcja]]-energia[[#This Row],[Zapotrzebowanie]]</f>
        <v>173749.50400000002</v>
      </c>
      <c r="J526" t="b">
        <f>IF(energia[[#This Row],[Magazyn]]&lt;0,TRUE,FALSE)</f>
        <v>0</v>
      </c>
    </row>
    <row r="527" spans="1:10" x14ac:dyDescent="0.3">
      <c r="A527" s="1">
        <v>45404</v>
      </c>
      <c r="B527">
        <v>22</v>
      </c>
      <c r="C527">
        <v>493.91300000000001</v>
      </c>
      <c r="D527">
        <v>0</v>
      </c>
      <c r="E527" t="b">
        <f>IF(energia[[#This Row],[Zrodla_wiatrowe]]&gt;C526,TRUE,FALSE)</f>
        <v>0</v>
      </c>
      <c r="F527">
        <f>IF(energia[[#This Row],[Czy wiatr rosło]],F526+1,1)</f>
        <v>1</v>
      </c>
      <c r="G527">
        <v>4696.7529999999997</v>
      </c>
      <c r="H527" s="6">
        <f>(energia[[#This Row],[Zrodla_wiatrowe]]+energia[[#This Row],[Zrodla_fotowoltaiczne]])</f>
        <v>493.91300000000001</v>
      </c>
      <c r="I527" s="6">
        <f>I526+energia[[#This Row],[Łączna produkcja]]-energia[[#This Row],[Zapotrzebowanie]]</f>
        <v>169546.66400000002</v>
      </c>
      <c r="J527" t="b">
        <f>IF(energia[[#This Row],[Magazyn]]&lt;0,TRUE,FALSE)</f>
        <v>0</v>
      </c>
    </row>
    <row r="528" spans="1:10" x14ac:dyDescent="0.3">
      <c r="A528" s="1">
        <v>45404</v>
      </c>
      <c r="B528">
        <v>23</v>
      </c>
      <c r="C528">
        <v>434.97500000000002</v>
      </c>
      <c r="D528">
        <v>0</v>
      </c>
      <c r="E528" t="b">
        <f>IF(energia[[#This Row],[Zrodla_wiatrowe]]&gt;C527,TRUE,FALSE)</f>
        <v>0</v>
      </c>
      <c r="F528">
        <f>IF(energia[[#This Row],[Czy wiatr rosło]],F527+1,1)</f>
        <v>1</v>
      </c>
      <c r="G528">
        <v>2909.701</v>
      </c>
      <c r="H528" s="6">
        <f>(energia[[#This Row],[Zrodla_wiatrowe]]+energia[[#This Row],[Zrodla_fotowoltaiczne]])</f>
        <v>434.97500000000002</v>
      </c>
      <c r="I528" s="6">
        <f>I527+energia[[#This Row],[Łączna produkcja]]-energia[[#This Row],[Zapotrzebowanie]]</f>
        <v>167071.93800000002</v>
      </c>
      <c r="J528" t="b">
        <f>IF(energia[[#This Row],[Magazyn]]&lt;0,TRUE,FALSE)</f>
        <v>0</v>
      </c>
    </row>
    <row r="529" spans="1:10" x14ac:dyDescent="0.3">
      <c r="A529" s="1">
        <v>45404</v>
      </c>
      <c r="B529">
        <v>24</v>
      </c>
      <c r="C529">
        <v>443.738</v>
      </c>
      <c r="D529">
        <v>0</v>
      </c>
      <c r="E529" t="b">
        <f>IF(energia[[#This Row],[Zrodla_wiatrowe]]&gt;C528,TRUE,FALSE)</f>
        <v>1</v>
      </c>
      <c r="F529">
        <f>IF(energia[[#This Row],[Czy wiatr rosło]],F528+1,1)</f>
        <v>2</v>
      </c>
      <c r="G529">
        <v>1708.3720000000001</v>
      </c>
      <c r="H529" s="6">
        <f>(energia[[#This Row],[Zrodla_wiatrowe]]+energia[[#This Row],[Zrodla_fotowoltaiczne]])</f>
        <v>443.738</v>
      </c>
      <c r="I529" s="6">
        <f>I528+energia[[#This Row],[Łączna produkcja]]-energia[[#This Row],[Zapotrzebowanie]]</f>
        <v>165807.30400000003</v>
      </c>
      <c r="J529" t="b">
        <f>IF(energia[[#This Row],[Magazyn]]&lt;0,TRUE,FALSE)</f>
        <v>0</v>
      </c>
    </row>
    <row r="530" spans="1:10" x14ac:dyDescent="0.3">
      <c r="A530" s="1">
        <v>45405</v>
      </c>
      <c r="B530">
        <v>1</v>
      </c>
      <c r="C530">
        <v>421.71300000000002</v>
      </c>
      <c r="D530">
        <v>0</v>
      </c>
      <c r="E530" t="b">
        <f>IF(energia[[#This Row],[Zrodla_wiatrowe]]&gt;C529,TRUE,FALSE)</f>
        <v>0</v>
      </c>
      <c r="F530">
        <f>IF(energia[[#This Row],[Czy wiatr rosło]],F529+1,1)</f>
        <v>1</v>
      </c>
      <c r="G530">
        <v>1701.4780000000001</v>
      </c>
      <c r="H530" s="6">
        <f>(energia[[#This Row],[Zrodla_wiatrowe]]+energia[[#This Row],[Zrodla_fotowoltaiczne]])</f>
        <v>421.71300000000002</v>
      </c>
      <c r="I530" s="6">
        <f>I529+energia[[#This Row],[Łączna produkcja]]-energia[[#This Row],[Zapotrzebowanie]]</f>
        <v>164527.53900000002</v>
      </c>
      <c r="J530" t="b">
        <f>IF(energia[[#This Row],[Magazyn]]&lt;0,TRUE,FALSE)</f>
        <v>0</v>
      </c>
    </row>
    <row r="531" spans="1:10" x14ac:dyDescent="0.3">
      <c r="A531" s="1">
        <v>45405</v>
      </c>
      <c r="B531">
        <v>2</v>
      </c>
      <c r="C531">
        <v>421.41300000000001</v>
      </c>
      <c r="D531">
        <v>0</v>
      </c>
      <c r="E531" t="b">
        <f>IF(energia[[#This Row],[Zrodla_wiatrowe]]&gt;C530,TRUE,FALSE)</f>
        <v>0</v>
      </c>
      <c r="F531">
        <f>IF(energia[[#This Row],[Czy wiatr rosło]],F530+1,1)</f>
        <v>1</v>
      </c>
      <c r="G531">
        <v>1487.836</v>
      </c>
      <c r="H531" s="6">
        <f>(energia[[#This Row],[Zrodla_wiatrowe]]+energia[[#This Row],[Zrodla_fotowoltaiczne]])</f>
        <v>421.41300000000001</v>
      </c>
      <c r="I531" s="6">
        <f>I530+energia[[#This Row],[Łączna produkcja]]-energia[[#This Row],[Zapotrzebowanie]]</f>
        <v>163461.11600000001</v>
      </c>
      <c r="J531" t="b">
        <f>IF(energia[[#This Row],[Magazyn]]&lt;0,TRUE,FALSE)</f>
        <v>0</v>
      </c>
    </row>
    <row r="532" spans="1:10" x14ac:dyDescent="0.3">
      <c r="A532" s="1">
        <v>45405</v>
      </c>
      <c r="B532">
        <v>3</v>
      </c>
      <c r="C532">
        <v>424.32499999999999</v>
      </c>
      <c r="D532">
        <v>0</v>
      </c>
      <c r="E532" t="b">
        <f>IF(energia[[#This Row],[Zrodla_wiatrowe]]&gt;C531,TRUE,FALSE)</f>
        <v>1</v>
      </c>
      <c r="F532">
        <f>IF(energia[[#This Row],[Czy wiatr rosło]],F531+1,1)</f>
        <v>2</v>
      </c>
      <c r="G532">
        <v>1391.5530000000001</v>
      </c>
      <c r="H532" s="6">
        <f>(energia[[#This Row],[Zrodla_wiatrowe]]+energia[[#This Row],[Zrodla_fotowoltaiczne]])</f>
        <v>424.32499999999999</v>
      </c>
      <c r="I532" s="6">
        <f>I531+energia[[#This Row],[Łączna produkcja]]-energia[[#This Row],[Zapotrzebowanie]]</f>
        <v>162493.88800000001</v>
      </c>
      <c r="J532" t="b">
        <f>IF(energia[[#This Row],[Magazyn]]&lt;0,TRUE,FALSE)</f>
        <v>0</v>
      </c>
    </row>
    <row r="533" spans="1:10" x14ac:dyDescent="0.3">
      <c r="A533" s="1">
        <v>45405</v>
      </c>
      <c r="B533">
        <v>4</v>
      </c>
      <c r="C533">
        <v>475.82499999999999</v>
      </c>
      <c r="D533">
        <v>0</v>
      </c>
      <c r="E533" t="b">
        <f>IF(energia[[#This Row],[Zrodla_wiatrowe]]&gt;C532,TRUE,FALSE)</f>
        <v>1</v>
      </c>
      <c r="F533">
        <f>IF(energia[[#This Row],[Czy wiatr rosło]],F532+1,1)</f>
        <v>3</v>
      </c>
      <c r="G533">
        <v>1229.6120000000001</v>
      </c>
      <c r="H533" s="6">
        <f>(energia[[#This Row],[Zrodla_wiatrowe]]+energia[[#This Row],[Zrodla_fotowoltaiczne]])</f>
        <v>475.82499999999999</v>
      </c>
      <c r="I533" s="6">
        <f>I532+energia[[#This Row],[Łączna produkcja]]-energia[[#This Row],[Zapotrzebowanie]]</f>
        <v>161740.10100000002</v>
      </c>
      <c r="J533" t="b">
        <f>IF(energia[[#This Row],[Magazyn]]&lt;0,TRUE,FALSE)</f>
        <v>0</v>
      </c>
    </row>
    <row r="534" spans="1:10" x14ac:dyDescent="0.3">
      <c r="A534" s="1">
        <v>45405</v>
      </c>
      <c r="B534">
        <v>5</v>
      </c>
      <c r="C534">
        <v>548.22500000000002</v>
      </c>
      <c r="D534">
        <v>0</v>
      </c>
      <c r="E534" t="b">
        <f>IF(energia[[#This Row],[Zrodla_wiatrowe]]&gt;C533,TRUE,FALSE)</f>
        <v>1</v>
      </c>
      <c r="F534">
        <f>IF(energia[[#This Row],[Czy wiatr rosło]],F533+1,1)</f>
        <v>4</v>
      </c>
      <c r="G534">
        <v>1843.3589999999999</v>
      </c>
      <c r="H534" s="6">
        <f>(energia[[#This Row],[Zrodla_wiatrowe]]+energia[[#This Row],[Zrodla_fotowoltaiczne]])</f>
        <v>548.22500000000002</v>
      </c>
      <c r="I534" s="6">
        <f>I533+energia[[#This Row],[Łączna produkcja]]-energia[[#This Row],[Zapotrzebowanie]]</f>
        <v>160444.96700000003</v>
      </c>
      <c r="J534" t="b">
        <f>IF(energia[[#This Row],[Magazyn]]&lt;0,TRUE,FALSE)</f>
        <v>0</v>
      </c>
    </row>
    <row r="535" spans="1:10" x14ac:dyDescent="0.3">
      <c r="A535" s="1">
        <v>45405</v>
      </c>
      <c r="B535">
        <v>6</v>
      </c>
      <c r="C535">
        <v>646.76300000000003</v>
      </c>
      <c r="D535">
        <v>66.75</v>
      </c>
      <c r="E535" t="b">
        <f>IF(energia[[#This Row],[Zrodla_wiatrowe]]&gt;C534,TRUE,FALSE)</f>
        <v>1</v>
      </c>
      <c r="F535">
        <f>IF(energia[[#This Row],[Czy wiatr rosło]],F534+1,1)</f>
        <v>5</v>
      </c>
      <c r="G535">
        <v>3052.663</v>
      </c>
      <c r="H535" s="6">
        <f>(energia[[#This Row],[Zrodla_wiatrowe]]+energia[[#This Row],[Zrodla_fotowoltaiczne]])</f>
        <v>713.51300000000003</v>
      </c>
      <c r="I535" s="6">
        <f>I534+energia[[#This Row],[Łączna produkcja]]-energia[[#This Row],[Zapotrzebowanie]]</f>
        <v>158105.81700000004</v>
      </c>
      <c r="J535" t="b">
        <f>IF(energia[[#This Row],[Magazyn]]&lt;0,TRUE,FALSE)</f>
        <v>0</v>
      </c>
    </row>
    <row r="536" spans="1:10" x14ac:dyDescent="0.3">
      <c r="A536" s="1">
        <v>45405</v>
      </c>
      <c r="B536">
        <v>7</v>
      </c>
      <c r="C536">
        <v>730.15</v>
      </c>
      <c r="D536">
        <v>624.79999999999995</v>
      </c>
      <c r="E536" t="b">
        <f>IF(energia[[#This Row],[Zrodla_wiatrowe]]&gt;C535,TRUE,FALSE)</f>
        <v>1</v>
      </c>
      <c r="F536">
        <f>IF(energia[[#This Row],[Czy wiatr rosło]],F535+1,1)</f>
        <v>6</v>
      </c>
      <c r="G536">
        <v>4158.4449999999997</v>
      </c>
      <c r="H536" s="6">
        <f>(energia[[#This Row],[Zrodla_wiatrowe]]+energia[[#This Row],[Zrodla_fotowoltaiczne]])</f>
        <v>1354.9499999999998</v>
      </c>
      <c r="I536" s="6">
        <f>I535+energia[[#This Row],[Łączna produkcja]]-energia[[#This Row],[Zapotrzebowanie]]</f>
        <v>155302.32200000004</v>
      </c>
      <c r="J536" t="b">
        <f>IF(energia[[#This Row],[Magazyn]]&lt;0,TRUE,FALSE)</f>
        <v>0</v>
      </c>
    </row>
    <row r="537" spans="1:10" x14ac:dyDescent="0.3">
      <c r="A537" s="1">
        <v>45405</v>
      </c>
      <c r="B537">
        <v>8</v>
      </c>
      <c r="C537">
        <v>611.51300000000003</v>
      </c>
      <c r="D537">
        <v>2220.038</v>
      </c>
      <c r="E537" t="b">
        <f>IF(energia[[#This Row],[Zrodla_wiatrowe]]&gt;C536,TRUE,FALSE)</f>
        <v>0</v>
      </c>
      <c r="F537">
        <f>IF(energia[[#This Row],[Czy wiatr rosło]],F536+1,1)</f>
        <v>1</v>
      </c>
      <c r="G537">
        <v>6975.317</v>
      </c>
      <c r="H537" s="6">
        <f>(energia[[#This Row],[Zrodla_wiatrowe]]+energia[[#This Row],[Zrodla_fotowoltaiczne]])</f>
        <v>2831.5509999999999</v>
      </c>
      <c r="I537" s="6">
        <f>I536+energia[[#This Row],[Łączna produkcja]]-energia[[#This Row],[Zapotrzebowanie]]</f>
        <v>151158.55600000004</v>
      </c>
      <c r="J537" t="b">
        <f>IF(energia[[#This Row],[Magazyn]]&lt;0,TRUE,FALSE)</f>
        <v>0</v>
      </c>
    </row>
    <row r="538" spans="1:10" x14ac:dyDescent="0.3">
      <c r="A538" s="1">
        <v>45405</v>
      </c>
      <c r="B538">
        <v>9</v>
      </c>
      <c r="C538">
        <v>560.81299999999999</v>
      </c>
      <c r="D538">
        <v>4509.7629999999999</v>
      </c>
      <c r="E538" t="b">
        <f>IF(energia[[#This Row],[Zrodla_wiatrowe]]&gt;C537,TRUE,FALSE)</f>
        <v>0</v>
      </c>
      <c r="F538">
        <f>IF(energia[[#This Row],[Czy wiatr rosło]],F537+1,1)</f>
        <v>1</v>
      </c>
      <c r="G538">
        <v>7812.3490000000002</v>
      </c>
      <c r="H538" s="6">
        <f>(energia[[#This Row],[Zrodla_wiatrowe]]+energia[[#This Row],[Zrodla_fotowoltaiczne]])</f>
        <v>5070.576</v>
      </c>
      <c r="I538" s="6">
        <f>I537+energia[[#This Row],[Łączna produkcja]]-energia[[#This Row],[Zapotrzebowanie]]</f>
        <v>148416.78300000005</v>
      </c>
      <c r="J538" t="b">
        <f>IF(energia[[#This Row],[Magazyn]]&lt;0,TRUE,FALSE)</f>
        <v>0</v>
      </c>
    </row>
    <row r="539" spans="1:10" x14ac:dyDescent="0.3">
      <c r="A539" s="1">
        <v>45405</v>
      </c>
      <c r="B539">
        <v>10</v>
      </c>
      <c r="C539">
        <v>604.07500000000005</v>
      </c>
      <c r="D539">
        <v>6009.375</v>
      </c>
      <c r="E539" t="b">
        <f>IF(energia[[#This Row],[Zrodla_wiatrowe]]&gt;C538,TRUE,FALSE)</f>
        <v>1</v>
      </c>
      <c r="F539">
        <f>IF(energia[[#This Row],[Czy wiatr rosło]],F538+1,1)</f>
        <v>2</v>
      </c>
      <c r="G539">
        <v>8719.5139999999992</v>
      </c>
      <c r="H539" s="6">
        <f>(energia[[#This Row],[Zrodla_wiatrowe]]+energia[[#This Row],[Zrodla_fotowoltaiczne]])</f>
        <v>6613.45</v>
      </c>
      <c r="I539" s="6">
        <f>I538+energia[[#This Row],[Łączna produkcja]]-energia[[#This Row],[Zapotrzebowanie]]</f>
        <v>146310.71900000007</v>
      </c>
      <c r="J539" t="b">
        <f>IF(energia[[#This Row],[Magazyn]]&lt;0,TRUE,FALSE)</f>
        <v>0</v>
      </c>
    </row>
    <row r="540" spans="1:10" x14ac:dyDescent="0.3">
      <c r="A540" s="1">
        <v>45405</v>
      </c>
      <c r="B540">
        <v>11</v>
      </c>
      <c r="C540">
        <v>771.81299999999999</v>
      </c>
      <c r="D540">
        <v>6756.8130000000001</v>
      </c>
      <c r="E540" t="b">
        <f>IF(energia[[#This Row],[Zrodla_wiatrowe]]&gt;C539,TRUE,FALSE)</f>
        <v>1</v>
      </c>
      <c r="F540">
        <f>IF(energia[[#This Row],[Czy wiatr rosło]],F539+1,1)</f>
        <v>3</v>
      </c>
      <c r="G540">
        <v>8695.0149999999994</v>
      </c>
      <c r="H540" s="6">
        <f>(energia[[#This Row],[Zrodla_wiatrowe]]+energia[[#This Row],[Zrodla_fotowoltaiczne]])</f>
        <v>7528.6260000000002</v>
      </c>
      <c r="I540" s="6">
        <f>I539+energia[[#This Row],[Łączna produkcja]]-energia[[#This Row],[Zapotrzebowanie]]</f>
        <v>145144.33000000007</v>
      </c>
      <c r="J540" t="b">
        <f>IF(energia[[#This Row],[Magazyn]]&lt;0,TRUE,FALSE)</f>
        <v>0</v>
      </c>
    </row>
    <row r="541" spans="1:10" x14ac:dyDescent="0.3">
      <c r="A541" s="1">
        <v>45405</v>
      </c>
      <c r="B541">
        <v>12</v>
      </c>
      <c r="C541">
        <v>884</v>
      </c>
      <c r="D541">
        <v>6561.5379999999996</v>
      </c>
      <c r="E541" t="b">
        <f>IF(energia[[#This Row],[Zrodla_wiatrowe]]&gt;C540,TRUE,FALSE)</f>
        <v>1</v>
      </c>
      <c r="F541">
        <f>IF(energia[[#This Row],[Czy wiatr rosło]],F540+1,1)</f>
        <v>4</v>
      </c>
      <c r="G541">
        <v>8839.5110000000004</v>
      </c>
      <c r="H541" s="6">
        <f>(energia[[#This Row],[Zrodla_wiatrowe]]+energia[[#This Row],[Zrodla_fotowoltaiczne]])</f>
        <v>7445.5379999999996</v>
      </c>
      <c r="I541" s="6">
        <f>I540+energia[[#This Row],[Łączna produkcja]]-energia[[#This Row],[Zapotrzebowanie]]</f>
        <v>143750.35700000008</v>
      </c>
      <c r="J541" t="b">
        <f>IF(energia[[#This Row],[Magazyn]]&lt;0,TRUE,FALSE)</f>
        <v>0</v>
      </c>
    </row>
    <row r="542" spans="1:10" x14ac:dyDescent="0.3">
      <c r="A542" s="1">
        <v>45405</v>
      </c>
      <c r="B542">
        <v>13</v>
      </c>
      <c r="C542">
        <v>869.46299999999997</v>
      </c>
      <c r="D542">
        <v>6942.3130000000001</v>
      </c>
      <c r="E542" t="b">
        <f>IF(energia[[#This Row],[Zrodla_wiatrowe]]&gt;C541,TRUE,FALSE)</f>
        <v>0</v>
      </c>
      <c r="F542">
        <f>IF(energia[[#This Row],[Czy wiatr rosło]],F541+1,1)</f>
        <v>1</v>
      </c>
      <c r="G542">
        <v>9208.9470000000001</v>
      </c>
      <c r="H542" s="6">
        <f>(energia[[#This Row],[Zrodla_wiatrowe]]+energia[[#This Row],[Zrodla_fotowoltaiczne]])</f>
        <v>7811.7759999999998</v>
      </c>
      <c r="I542" s="6">
        <f>I541+energia[[#This Row],[Łączna produkcja]]-energia[[#This Row],[Zapotrzebowanie]]</f>
        <v>142353.1860000001</v>
      </c>
      <c r="J542" t="b">
        <f>IF(energia[[#This Row],[Magazyn]]&lt;0,TRUE,FALSE)</f>
        <v>0</v>
      </c>
    </row>
    <row r="543" spans="1:10" x14ac:dyDescent="0.3">
      <c r="A543" s="1">
        <v>45405</v>
      </c>
      <c r="B543">
        <v>14</v>
      </c>
      <c r="C543">
        <v>865.21299999999997</v>
      </c>
      <c r="D543">
        <v>7253.5379999999996</v>
      </c>
      <c r="E543" t="b">
        <f>IF(energia[[#This Row],[Zrodla_wiatrowe]]&gt;C542,TRUE,FALSE)</f>
        <v>0</v>
      </c>
      <c r="F543">
        <f>IF(energia[[#This Row],[Czy wiatr rosło]],F542+1,1)</f>
        <v>1</v>
      </c>
      <c r="G543">
        <v>7276.4080000000004</v>
      </c>
      <c r="H543" s="6">
        <f>(energia[[#This Row],[Zrodla_wiatrowe]]+energia[[#This Row],[Zrodla_fotowoltaiczne]])</f>
        <v>8118.7509999999993</v>
      </c>
      <c r="I543" s="6">
        <f>I542+energia[[#This Row],[Łączna produkcja]]-energia[[#This Row],[Zapotrzebowanie]]</f>
        <v>143195.5290000001</v>
      </c>
      <c r="J543" t="b">
        <f>IF(energia[[#This Row],[Magazyn]]&lt;0,TRUE,FALSE)</f>
        <v>0</v>
      </c>
    </row>
    <row r="544" spans="1:10" x14ac:dyDescent="0.3">
      <c r="A544" s="1">
        <v>45405</v>
      </c>
      <c r="B544">
        <v>15</v>
      </c>
      <c r="C544">
        <v>796.05</v>
      </c>
      <c r="D544">
        <v>7172.7380000000003</v>
      </c>
      <c r="E544" t="b">
        <f>IF(energia[[#This Row],[Zrodla_wiatrowe]]&gt;C543,TRUE,FALSE)</f>
        <v>0</v>
      </c>
      <c r="F544">
        <f>IF(energia[[#This Row],[Czy wiatr rosło]],F543+1,1)</f>
        <v>1</v>
      </c>
      <c r="G544">
        <v>7501.2579999999998</v>
      </c>
      <c r="H544" s="6">
        <f>(energia[[#This Row],[Zrodla_wiatrowe]]+energia[[#This Row],[Zrodla_fotowoltaiczne]])</f>
        <v>7968.7880000000005</v>
      </c>
      <c r="I544" s="6">
        <f>I543+energia[[#This Row],[Łączna produkcja]]-energia[[#This Row],[Zapotrzebowanie]]</f>
        <v>143663.0590000001</v>
      </c>
      <c r="J544" t="b">
        <f>IF(energia[[#This Row],[Magazyn]]&lt;0,TRUE,FALSE)</f>
        <v>0</v>
      </c>
    </row>
    <row r="545" spans="1:10" x14ac:dyDescent="0.3">
      <c r="A545" s="1">
        <v>45405</v>
      </c>
      <c r="B545">
        <v>16</v>
      </c>
      <c r="C545">
        <v>676.75</v>
      </c>
      <c r="D545">
        <v>6145.2879999999996</v>
      </c>
      <c r="E545" t="b">
        <f>IF(energia[[#This Row],[Zrodla_wiatrowe]]&gt;C544,TRUE,FALSE)</f>
        <v>0</v>
      </c>
      <c r="F545">
        <f>IF(energia[[#This Row],[Czy wiatr rosło]],F544+1,1)</f>
        <v>1</v>
      </c>
      <c r="G545">
        <v>7554.69</v>
      </c>
      <c r="H545" s="6">
        <f>(energia[[#This Row],[Zrodla_wiatrowe]]+energia[[#This Row],[Zrodla_fotowoltaiczne]])</f>
        <v>6822.0379999999996</v>
      </c>
      <c r="I545" s="6">
        <f>I544+energia[[#This Row],[Łączna produkcja]]-energia[[#This Row],[Zapotrzebowanie]]</f>
        <v>142930.40700000009</v>
      </c>
      <c r="J545" t="b">
        <f>IF(energia[[#This Row],[Magazyn]]&lt;0,TRUE,FALSE)</f>
        <v>0</v>
      </c>
    </row>
    <row r="546" spans="1:10" x14ac:dyDescent="0.3">
      <c r="A546" s="1">
        <v>45405</v>
      </c>
      <c r="B546">
        <v>17</v>
      </c>
      <c r="C546">
        <v>512.625</v>
      </c>
      <c r="D546">
        <v>4845.6000000000004</v>
      </c>
      <c r="E546" t="b">
        <f>IF(energia[[#This Row],[Zrodla_wiatrowe]]&gt;C545,TRUE,FALSE)</f>
        <v>0</v>
      </c>
      <c r="F546">
        <f>IF(energia[[#This Row],[Czy wiatr rosło]],F545+1,1)</f>
        <v>1</v>
      </c>
      <c r="G546">
        <v>7289.8959999999997</v>
      </c>
      <c r="H546" s="6">
        <f>(energia[[#This Row],[Zrodla_wiatrowe]]+energia[[#This Row],[Zrodla_fotowoltaiczne]])</f>
        <v>5358.2250000000004</v>
      </c>
      <c r="I546" s="6">
        <f>I545+energia[[#This Row],[Łączna produkcja]]-energia[[#This Row],[Zapotrzebowanie]]</f>
        <v>140998.73600000009</v>
      </c>
      <c r="J546" t="b">
        <f>IF(energia[[#This Row],[Magazyn]]&lt;0,TRUE,FALSE)</f>
        <v>0</v>
      </c>
    </row>
    <row r="547" spans="1:10" x14ac:dyDescent="0.3">
      <c r="A547" s="1">
        <v>45405</v>
      </c>
      <c r="B547">
        <v>18</v>
      </c>
      <c r="C547">
        <v>417.5</v>
      </c>
      <c r="D547">
        <v>3004.7629999999999</v>
      </c>
      <c r="E547" t="b">
        <f>IF(energia[[#This Row],[Zrodla_wiatrowe]]&gt;C546,TRUE,FALSE)</f>
        <v>0</v>
      </c>
      <c r="F547">
        <f>IF(energia[[#This Row],[Czy wiatr rosło]],F546+1,1)</f>
        <v>1</v>
      </c>
      <c r="G547">
        <v>6693.3819999999996</v>
      </c>
      <c r="H547" s="6">
        <f>(energia[[#This Row],[Zrodla_wiatrowe]]+energia[[#This Row],[Zrodla_fotowoltaiczne]])</f>
        <v>3422.2629999999999</v>
      </c>
      <c r="I547" s="6">
        <f>I546+energia[[#This Row],[Łączna produkcja]]-energia[[#This Row],[Zapotrzebowanie]]</f>
        <v>137727.61700000009</v>
      </c>
      <c r="J547" t="b">
        <f>IF(energia[[#This Row],[Magazyn]]&lt;0,TRUE,FALSE)</f>
        <v>0</v>
      </c>
    </row>
    <row r="548" spans="1:10" x14ac:dyDescent="0.3">
      <c r="A548" s="1">
        <v>45405</v>
      </c>
      <c r="B548">
        <v>19</v>
      </c>
      <c r="C548">
        <v>377.32499999999999</v>
      </c>
      <c r="D548">
        <v>1426.675</v>
      </c>
      <c r="E548" t="b">
        <f>IF(energia[[#This Row],[Zrodla_wiatrowe]]&gt;C547,TRUE,FALSE)</f>
        <v>0</v>
      </c>
      <c r="F548">
        <f>IF(energia[[#This Row],[Czy wiatr rosło]],F547+1,1)</f>
        <v>1</v>
      </c>
      <c r="G548">
        <v>7151.75</v>
      </c>
      <c r="H548" s="6">
        <f>(energia[[#This Row],[Zrodla_wiatrowe]]+energia[[#This Row],[Zrodla_fotowoltaiczne]])</f>
        <v>1804</v>
      </c>
      <c r="I548" s="6">
        <f>I547+energia[[#This Row],[Łączna produkcja]]-energia[[#This Row],[Zapotrzebowanie]]</f>
        <v>132379.86700000009</v>
      </c>
      <c r="J548" t="b">
        <f>IF(energia[[#This Row],[Magazyn]]&lt;0,TRUE,FALSE)</f>
        <v>0</v>
      </c>
    </row>
    <row r="549" spans="1:10" x14ac:dyDescent="0.3">
      <c r="A549" s="1">
        <v>45405</v>
      </c>
      <c r="B549">
        <v>20</v>
      </c>
      <c r="C549">
        <v>552.58799999999997</v>
      </c>
      <c r="D549">
        <v>450.125</v>
      </c>
      <c r="E549" t="b">
        <f>IF(energia[[#This Row],[Zrodla_wiatrowe]]&gt;C548,TRUE,FALSE)</f>
        <v>1</v>
      </c>
      <c r="F549">
        <f>IF(energia[[#This Row],[Czy wiatr rosło]],F548+1,1)</f>
        <v>2</v>
      </c>
      <c r="G549">
        <v>6958.1319999999996</v>
      </c>
      <c r="H549" s="6">
        <f>(energia[[#This Row],[Zrodla_wiatrowe]]+energia[[#This Row],[Zrodla_fotowoltaiczne]])</f>
        <v>1002.713</v>
      </c>
      <c r="I549" s="6">
        <f>I548+energia[[#This Row],[Łączna produkcja]]-energia[[#This Row],[Zapotrzebowanie]]</f>
        <v>126424.44800000008</v>
      </c>
      <c r="J549" t="b">
        <f>IF(energia[[#This Row],[Magazyn]]&lt;0,TRUE,FALSE)</f>
        <v>0</v>
      </c>
    </row>
    <row r="550" spans="1:10" x14ac:dyDescent="0.3">
      <c r="A550" s="1">
        <v>45405</v>
      </c>
      <c r="B550">
        <v>21</v>
      </c>
      <c r="C550">
        <v>849.4</v>
      </c>
      <c r="D550">
        <v>49.463000000000001</v>
      </c>
      <c r="E550" t="b">
        <f>IF(energia[[#This Row],[Zrodla_wiatrowe]]&gt;C549,TRUE,FALSE)</f>
        <v>1</v>
      </c>
      <c r="F550">
        <f>IF(energia[[#This Row],[Czy wiatr rosło]],F549+1,1)</f>
        <v>3</v>
      </c>
      <c r="G550">
        <v>5406.61</v>
      </c>
      <c r="H550" s="6">
        <f>(energia[[#This Row],[Zrodla_wiatrowe]]+energia[[#This Row],[Zrodla_fotowoltaiczne]])</f>
        <v>898.86299999999994</v>
      </c>
      <c r="I550" s="6">
        <f>I549+energia[[#This Row],[Łączna produkcja]]-energia[[#This Row],[Zapotrzebowanie]]</f>
        <v>121916.70100000007</v>
      </c>
      <c r="J550" t="b">
        <f>IF(energia[[#This Row],[Magazyn]]&lt;0,TRUE,FALSE)</f>
        <v>0</v>
      </c>
    </row>
    <row r="551" spans="1:10" x14ac:dyDescent="0.3">
      <c r="A551" s="1">
        <v>45405</v>
      </c>
      <c r="B551">
        <v>22</v>
      </c>
      <c r="C551">
        <v>1143.675</v>
      </c>
      <c r="D551">
        <v>0</v>
      </c>
      <c r="E551" t="b">
        <f>IF(energia[[#This Row],[Zrodla_wiatrowe]]&gt;C550,TRUE,FALSE)</f>
        <v>1</v>
      </c>
      <c r="F551">
        <f>IF(energia[[#This Row],[Czy wiatr rosło]],F550+1,1)</f>
        <v>4</v>
      </c>
      <c r="G551">
        <v>5218.6139999999996</v>
      </c>
      <c r="H551" s="6">
        <f>(energia[[#This Row],[Zrodla_wiatrowe]]+energia[[#This Row],[Zrodla_fotowoltaiczne]])</f>
        <v>1143.675</v>
      </c>
      <c r="I551" s="6">
        <f>I550+energia[[#This Row],[Łączna produkcja]]-energia[[#This Row],[Zapotrzebowanie]]</f>
        <v>117841.76200000008</v>
      </c>
      <c r="J551" t="b">
        <f>IF(energia[[#This Row],[Magazyn]]&lt;0,TRUE,FALSE)</f>
        <v>0</v>
      </c>
    </row>
    <row r="552" spans="1:10" x14ac:dyDescent="0.3">
      <c r="A552" s="1">
        <v>45405</v>
      </c>
      <c r="B552">
        <v>23</v>
      </c>
      <c r="C552">
        <v>1355.6379999999999</v>
      </c>
      <c r="D552">
        <v>0</v>
      </c>
      <c r="E552" t="b">
        <f>IF(energia[[#This Row],[Zrodla_wiatrowe]]&gt;C551,TRUE,FALSE)</f>
        <v>1</v>
      </c>
      <c r="F552">
        <f>IF(energia[[#This Row],[Czy wiatr rosło]],F551+1,1)</f>
        <v>5</v>
      </c>
      <c r="G552">
        <v>3233.0010000000002</v>
      </c>
      <c r="H552" s="6">
        <f>(energia[[#This Row],[Zrodla_wiatrowe]]+energia[[#This Row],[Zrodla_fotowoltaiczne]])</f>
        <v>1355.6379999999999</v>
      </c>
      <c r="I552" s="6">
        <f>I551+energia[[#This Row],[Łączna produkcja]]-energia[[#This Row],[Zapotrzebowanie]]</f>
        <v>115964.39900000008</v>
      </c>
      <c r="J552" t="b">
        <f>IF(energia[[#This Row],[Magazyn]]&lt;0,TRUE,FALSE)</f>
        <v>0</v>
      </c>
    </row>
    <row r="553" spans="1:10" x14ac:dyDescent="0.3">
      <c r="A553" s="1">
        <v>45405</v>
      </c>
      <c r="B553">
        <v>24</v>
      </c>
      <c r="C553">
        <v>1587.25</v>
      </c>
      <c r="D553">
        <v>0</v>
      </c>
      <c r="E553" t="b">
        <f>IF(energia[[#This Row],[Zrodla_wiatrowe]]&gt;C552,TRUE,FALSE)</f>
        <v>1</v>
      </c>
      <c r="F553">
        <f>IF(energia[[#This Row],[Czy wiatr rosło]],F552+1,1)</f>
        <v>6</v>
      </c>
      <c r="G553">
        <v>1898.191</v>
      </c>
      <c r="H553" s="6">
        <f>(energia[[#This Row],[Zrodla_wiatrowe]]+energia[[#This Row],[Zrodla_fotowoltaiczne]])</f>
        <v>1587.25</v>
      </c>
      <c r="I553" s="6">
        <f>I552+energia[[#This Row],[Łączna produkcja]]-energia[[#This Row],[Zapotrzebowanie]]</f>
        <v>115653.45800000007</v>
      </c>
      <c r="J553" t="b">
        <f>IF(energia[[#This Row],[Magazyn]]&lt;0,TRUE,FALSE)</f>
        <v>0</v>
      </c>
    </row>
    <row r="554" spans="1:10" x14ac:dyDescent="0.3">
      <c r="A554" s="1">
        <v>45406</v>
      </c>
      <c r="B554">
        <v>1</v>
      </c>
      <c r="C554">
        <v>1856.2249999999999</v>
      </c>
      <c r="D554">
        <v>0</v>
      </c>
      <c r="E554" t="b">
        <f>IF(energia[[#This Row],[Zrodla_wiatrowe]]&gt;C553,TRUE,FALSE)</f>
        <v>1</v>
      </c>
      <c r="F554">
        <f>IF(energia[[#This Row],[Czy wiatr rosło]],F553+1,1)</f>
        <v>7</v>
      </c>
      <c r="G554">
        <v>1722.7570000000001</v>
      </c>
      <c r="H554" s="6">
        <f>(energia[[#This Row],[Zrodla_wiatrowe]]+energia[[#This Row],[Zrodla_fotowoltaiczne]])</f>
        <v>1856.2249999999999</v>
      </c>
      <c r="I554" s="6">
        <f>I553+energia[[#This Row],[Łączna produkcja]]-energia[[#This Row],[Zapotrzebowanie]]</f>
        <v>115786.92600000008</v>
      </c>
      <c r="J554" t="b">
        <f>IF(energia[[#This Row],[Magazyn]]&lt;0,TRUE,FALSE)</f>
        <v>0</v>
      </c>
    </row>
    <row r="555" spans="1:10" x14ac:dyDescent="0.3">
      <c r="A555" s="1">
        <v>45406</v>
      </c>
      <c r="B555">
        <v>2</v>
      </c>
      <c r="C555">
        <v>2004.8630000000001</v>
      </c>
      <c r="D555">
        <v>0</v>
      </c>
      <c r="E555" t="b">
        <f>IF(energia[[#This Row],[Zrodla_wiatrowe]]&gt;C554,TRUE,FALSE)</f>
        <v>1</v>
      </c>
      <c r="F555">
        <f>IF(energia[[#This Row],[Czy wiatr rosło]],F554+1,1)</f>
        <v>8</v>
      </c>
      <c r="G555">
        <v>1477.0160000000001</v>
      </c>
      <c r="H555" s="6">
        <f>(energia[[#This Row],[Zrodla_wiatrowe]]+energia[[#This Row],[Zrodla_fotowoltaiczne]])</f>
        <v>2004.8630000000001</v>
      </c>
      <c r="I555" s="6">
        <f>I554+energia[[#This Row],[Łączna produkcja]]-energia[[#This Row],[Zapotrzebowanie]]</f>
        <v>116314.77300000007</v>
      </c>
      <c r="J555" t="b">
        <f>IF(energia[[#This Row],[Magazyn]]&lt;0,TRUE,FALSE)</f>
        <v>0</v>
      </c>
    </row>
    <row r="556" spans="1:10" x14ac:dyDescent="0.3">
      <c r="A556" s="1">
        <v>45406</v>
      </c>
      <c r="B556">
        <v>3</v>
      </c>
      <c r="C556">
        <v>1942.425</v>
      </c>
      <c r="D556">
        <v>0</v>
      </c>
      <c r="E556" t="b">
        <f>IF(energia[[#This Row],[Zrodla_wiatrowe]]&gt;C555,TRUE,FALSE)</f>
        <v>0</v>
      </c>
      <c r="F556">
        <f>IF(energia[[#This Row],[Czy wiatr rosło]],F555+1,1)</f>
        <v>1</v>
      </c>
      <c r="G556">
        <v>1381.432</v>
      </c>
      <c r="H556" s="6">
        <f>(energia[[#This Row],[Zrodla_wiatrowe]]+energia[[#This Row],[Zrodla_fotowoltaiczne]])</f>
        <v>1942.425</v>
      </c>
      <c r="I556" s="6">
        <f>I555+energia[[#This Row],[Łączna produkcja]]-energia[[#This Row],[Zapotrzebowanie]]</f>
        <v>116875.76600000008</v>
      </c>
      <c r="J556" t="b">
        <f>IF(energia[[#This Row],[Magazyn]]&lt;0,TRUE,FALSE)</f>
        <v>0</v>
      </c>
    </row>
    <row r="557" spans="1:10" x14ac:dyDescent="0.3">
      <c r="A557" s="1">
        <v>45406</v>
      </c>
      <c r="B557">
        <v>4</v>
      </c>
      <c r="C557">
        <v>1797.0250000000001</v>
      </c>
      <c r="D557">
        <v>0</v>
      </c>
      <c r="E557" t="b">
        <f>IF(energia[[#This Row],[Zrodla_wiatrowe]]&gt;C556,TRUE,FALSE)</f>
        <v>0</v>
      </c>
      <c r="F557">
        <f>IF(energia[[#This Row],[Czy wiatr rosło]],F556+1,1)</f>
        <v>1</v>
      </c>
      <c r="G557">
        <v>1384.2639999999999</v>
      </c>
      <c r="H557" s="6">
        <f>(energia[[#This Row],[Zrodla_wiatrowe]]+energia[[#This Row],[Zrodla_fotowoltaiczne]])</f>
        <v>1797.0250000000001</v>
      </c>
      <c r="I557" s="6">
        <f>I556+energia[[#This Row],[Łączna produkcja]]-energia[[#This Row],[Zapotrzebowanie]]</f>
        <v>117288.52700000007</v>
      </c>
      <c r="J557" t="b">
        <f>IF(energia[[#This Row],[Magazyn]]&lt;0,TRUE,FALSE)</f>
        <v>0</v>
      </c>
    </row>
    <row r="558" spans="1:10" x14ac:dyDescent="0.3">
      <c r="A558" s="1">
        <v>45406</v>
      </c>
      <c r="B558">
        <v>5</v>
      </c>
      <c r="C558">
        <v>1627.1130000000001</v>
      </c>
      <c r="D558">
        <v>0</v>
      </c>
      <c r="E558" t="b">
        <f>IF(energia[[#This Row],[Zrodla_wiatrowe]]&gt;C557,TRUE,FALSE)</f>
        <v>0</v>
      </c>
      <c r="F558">
        <f>IF(energia[[#This Row],[Czy wiatr rosło]],F557+1,1)</f>
        <v>1</v>
      </c>
      <c r="G558">
        <v>2075.2040000000002</v>
      </c>
      <c r="H558" s="6">
        <f>(energia[[#This Row],[Zrodla_wiatrowe]]+energia[[#This Row],[Zrodla_fotowoltaiczne]])</f>
        <v>1627.1130000000001</v>
      </c>
      <c r="I558" s="6">
        <f>I557+energia[[#This Row],[Łączna produkcja]]-energia[[#This Row],[Zapotrzebowanie]]</f>
        <v>116840.43600000007</v>
      </c>
      <c r="J558" t="b">
        <f>IF(energia[[#This Row],[Magazyn]]&lt;0,TRUE,FALSE)</f>
        <v>0</v>
      </c>
    </row>
    <row r="559" spans="1:10" x14ac:dyDescent="0.3">
      <c r="A559" s="1">
        <v>45406</v>
      </c>
      <c r="B559">
        <v>6</v>
      </c>
      <c r="C559">
        <v>1479.425</v>
      </c>
      <c r="D559">
        <v>114.77500000000001</v>
      </c>
      <c r="E559" t="b">
        <f>IF(energia[[#This Row],[Zrodla_wiatrowe]]&gt;C558,TRUE,FALSE)</f>
        <v>0</v>
      </c>
      <c r="F559">
        <f>IF(energia[[#This Row],[Czy wiatr rosło]],F558+1,1)</f>
        <v>1</v>
      </c>
      <c r="G559">
        <v>3436.607</v>
      </c>
      <c r="H559" s="6">
        <f>(energia[[#This Row],[Zrodla_wiatrowe]]+energia[[#This Row],[Zrodla_fotowoltaiczne]])</f>
        <v>1594.2</v>
      </c>
      <c r="I559" s="6">
        <f>I558+energia[[#This Row],[Łączna produkcja]]-energia[[#This Row],[Zapotrzebowanie]]</f>
        <v>114998.02900000007</v>
      </c>
      <c r="J559" t="b">
        <f>IF(energia[[#This Row],[Magazyn]]&lt;0,TRUE,FALSE)</f>
        <v>0</v>
      </c>
    </row>
    <row r="560" spans="1:10" x14ac:dyDescent="0.3">
      <c r="A560" s="1">
        <v>45406</v>
      </c>
      <c r="B560">
        <v>7</v>
      </c>
      <c r="C560">
        <v>1272.9880000000001</v>
      </c>
      <c r="D560">
        <v>633.08799999999997</v>
      </c>
      <c r="E560" t="b">
        <f>IF(energia[[#This Row],[Zrodla_wiatrowe]]&gt;C559,TRUE,FALSE)</f>
        <v>0</v>
      </c>
      <c r="F560">
        <f>IF(energia[[#This Row],[Czy wiatr rosło]],F559+1,1)</f>
        <v>1</v>
      </c>
      <c r="G560">
        <v>4681.4660000000003</v>
      </c>
      <c r="H560" s="6">
        <f>(energia[[#This Row],[Zrodla_wiatrowe]]+energia[[#This Row],[Zrodla_fotowoltaiczne]])</f>
        <v>1906.076</v>
      </c>
      <c r="I560" s="6">
        <f>I559+energia[[#This Row],[Łączna produkcja]]-energia[[#This Row],[Zapotrzebowanie]]</f>
        <v>112222.63900000007</v>
      </c>
      <c r="J560" t="b">
        <f>IF(energia[[#This Row],[Magazyn]]&lt;0,TRUE,FALSE)</f>
        <v>0</v>
      </c>
    </row>
    <row r="561" spans="1:10" x14ac:dyDescent="0.3">
      <c r="A561" s="1">
        <v>45406</v>
      </c>
      <c r="B561">
        <v>8</v>
      </c>
      <c r="C561">
        <v>820.93799999999999</v>
      </c>
      <c r="D561">
        <v>1677.075</v>
      </c>
      <c r="E561" t="b">
        <f>IF(energia[[#This Row],[Zrodla_wiatrowe]]&gt;C560,TRUE,FALSE)</f>
        <v>0</v>
      </c>
      <c r="F561">
        <f>IF(energia[[#This Row],[Czy wiatr rosło]],F560+1,1)</f>
        <v>1</v>
      </c>
      <c r="G561">
        <v>6924.5870000000004</v>
      </c>
      <c r="H561" s="6">
        <f>(energia[[#This Row],[Zrodla_wiatrowe]]+energia[[#This Row],[Zrodla_fotowoltaiczne]])</f>
        <v>2498.0129999999999</v>
      </c>
      <c r="I561" s="6">
        <f>I560+energia[[#This Row],[Łączna produkcja]]-energia[[#This Row],[Zapotrzebowanie]]</f>
        <v>107796.06500000008</v>
      </c>
      <c r="J561" t="b">
        <f>IF(energia[[#This Row],[Magazyn]]&lt;0,TRUE,FALSE)</f>
        <v>0</v>
      </c>
    </row>
    <row r="562" spans="1:10" x14ac:dyDescent="0.3">
      <c r="A562" s="1">
        <v>45406</v>
      </c>
      <c r="B562">
        <v>9</v>
      </c>
      <c r="C562">
        <v>444.613</v>
      </c>
      <c r="D562">
        <v>2961.3629999999998</v>
      </c>
      <c r="E562" t="b">
        <f>IF(energia[[#This Row],[Zrodla_wiatrowe]]&gt;C561,TRUE,FALSE)</f>
        <v>0</v>
      </c>
      <c r="F562">
        <f>IF(energia[[#This Row],[Czy wiatr rosło]],F561+1,1)</f>
        <v>1</v>
      </c>
      <c r="G562">
        <v>7755.5320000000002</v>
      </c>
      <c r="H562" s="6">
        <f>(energia[[#This Row],[Zrodla_wiatrowe]]+energia[[#This Row],[Zrodla_fotowoltaiczne]])</f>
        <v>3405.9759999999997</v>
      </c>
      <c r="I562" s="6">
        <f>I561+energia[[#This Row],[Łączna produkcja]]-energia[[#This Row],[Zapotrzebowanie]]</f>
        <v>103446.50900000006</v>
      </c>
      <c r="J562" t="b">
        <f>IF(energia[[#This Row],[Magazyn]]&lt;0,TRUE,FALSE)</f>
        <v>0</v>
      </c>
    </row>
    <row r="563" spans="1:10" x14ac:dyDescent="0.3">
      <c r="A563" s="1">
        <v>45406</v>
      </c>
      <c r="B563">
        <v>10</v>
      </c>
      <c r="C563">
        <v>346.07499999999999</v>
      </c>
      <c r="D563">
        <v>4438.3630000000003</v>
      </c>
      <c r="E563" t="b">
        <f>IF(energia[[#This Row],[Zrodla_wiatrowe]]&gt;C562,TRUE,FALSE)</f>
        <v>0</v>
      </c>
      <c r="F563">
        <f>IF(energia[[#This Row],[Czy wiatr rosło]],F562+1,1)</f>
        <v>1</v>
      </c>
      <c r="G563">
        <v>8656.0990000000002</v>
      </c>
      <c r="H563" s="6">
        <f>(energia[[#This Row],[Zrodla_wiatrowe]]+energia[[#This Row],[Zrodla_fotowoltaiczne]])</f>
        <v>4784.4380000000001</v>
      </c>
      <c r="I563" s="6">
        <f>I562+energia[[#This Row],[Łączna produkcja]]-energia[[#This Row],[Zapotrzebowanie]]</f>
        <v>99574.848000000056</v>
      </c>
      <c r="J563" t="b">
        <f>IF(energia[[#This Row],[Magazyn]]&lt;0,TRUE,FALSE)</f>
        <v>0</v>
      </c>
    </row>
    <row r="564" spans="1:10" x14ac:dyDescent="0.3">
      <c r="A564" s="1">
        <v>45406</v>
      </c>
      <c r="B564">
        <v>11</v>
      </c>
      <c r="C564">
        <v>400.25</v>
      </c>
      <c r="D564">
        <v>5538.8249999999998</v>
      </c>
      <c r="E564" t="b">
        <f>IF(energia[[#This Row],[Zrodla_wiatrowe]]&gt;C563,TRUE,FALSE)</f>
        <v>1</v>
      </c>
      <c r="F564">
        <f>IF(energia[[#This Row],[Czy wiatr rosło]],F563+1,1)</f>
        <v>2</v>
      </c>
      <c r="G564">
        <v>8631.7790000000005</v>
      </c>
      <c r="H564" s="6">
        <f>(energia[[#This Row],[Zrodla_wiatrowe]]+energia[[#This Row],[Zrodla_fotowoltaiczne]])</f>
        <v>5939.0749999999998</v>
      </c>
      <c r="I564" s="6">
        <f>I563+energia[[#This Row],[Łączna produkcja]]-energia[[#This Row],[Zapotrzebowanie]]</f>
        <v>96882.144000000058</v>
      </c>
      <c r="J564" t="b">
        <f>IF(energia[[#This Row],[Magazyn]]&lt;0,TRUE,FALSE)</f>
        <v>0</v>
      </c>
    </row>
    <row r="565" spans="1:10" x14ac:dyDescent="0.3">
      <c r="A565" s="1">
        <v>45406</v>
      </c>
      <c r="B565">
        <v>12</v>
      </c>
      <c r="C565">
        <v>468.875</v>
      </c>
      <c r="D565">
        <v>5703.8379999999997</v>
      </c>
      <c r="E565" t="b">
        <f>IF(energia[[#This Row],[Zrodla_wiatrowe]]&gt;C564,TRUE,FALSE)</f>
        <v>1</v>
      </c>
      <c r="F565">
        <f>IF(energia[[#This Row],[Czy wiatr rosło]],F564+1,1)</f>
        <v>3</v>
      </c>
      <c r="G565">
        <v>8775.2240000000002</v>
      </c>
      <c r="H565" s="6">
        <f>(energia[[#This Row],[Zrodla_wiatrowe]]+energia[[#This Row],[Zrodla_fotowoltaiczne]])</f>
        <v>6172.7129999999997</v>
      </c>
      <c r="I565" s="6">
        <f>I564+energia[[#This Row],[Łączna produkcja]]-energia[[#This Row],[Zapotrzebowanie]]</f>
        <v>94279.63300000006</v>
      </c>
      <c r="J565" t="b">
        <f>IF(energia[[#This Row],[Magazyn]]&lt;0,TRUE,FALSE)</f>
        <v>0</v>
      </c>
    </row>
    <row r="566" spans="1:10" x14ac:dyDescent="0.3">
      <c r="A566" s="1">
        <v>45406</v>
      </c>
      <c r="B566">
        <v>13</v>
      </c>
      <c r="C566">
        <v>546.43799999999999</v>
      </c>
      <c r="D566">
        <v>5460.4750000000004</v>
      </c>
      <c r="E566" t="b">
        <f>IF(energia[[#This Row],[Zrodla_wiatrowe]]&gt;C565,TRUE,FALSE)</f>
        <v>1</v>
      </c>
      <c r="F566">
        <f>IF(energia[[#This Row],[Czy wiatr rosło]],F565+1,1)</f>
        <v>4</v>
      </c>
      <c r="G566">
        <v>9141.973</v>
      </c>
      <c r="H566" s="6">
        <f>(energia[[#This Row],[Zrodla_wiatrowe]]+energia[[#This Row],[Zrodla_fotowoltaiczne]])</f>
        <v>6006.9130000000005</v>
      </c>
      <c r="I566" s="6">
        <f>I565+energia[[#This Row],[Łączna produkcja]]-energia[[#This Row],[Zapotrzebowanie]]</f>
        <v>91144.573000000062</v>
      </c>
      <c r="J566" t="b">
        <f>IF(energia[[#This Row],[Magazyn]]&lt;0,TRUE,FALSE)</f>
        <v>0</v>
      </c>
    </row>
    <row r="567" spans="1:10" x14ac:dyDescent="0.3">
      <c r="A567" s="1">
        <v>45406</v>
      </c>
      <c r="B567">
        <v>14</v>
      </c>
      <c r="C567">
        <v>667.36300000000006</v>
      </c>
      <c r="D567">
        <v>5304.3630000000003</v>
      </c>
      <c r="E567" t="b">
        <f>IF(energia[[#This Row],[Zrodla_wiatrowe]]&gt;C566,TRUE,FALSE)</f>
        <v>1</v>
      </c>
      <c r="F567">
        <f>IF(energia[[#This Row],[Czy wiatr rosło]],F566+1,1)</f>
        <v>5</v>
      </c>
      <c r="G567">
        <v>8636.7800000000007</v>
      </c>
      <c r="H567" s="6">
        <f>(energia[[#This Row],[Zrodla_wiatrowe]]+energia[[#This Row],[Zrodla_fotowoltaiczne]])</f>
        <v>5971.7260000000006</v>
      </c>
      <c r="I567" s="6">
        <f>I566+energia[[#This Row],[Łączna produkcja]]-energia[[#This Row],[Zapotrzebowanie]]</f>
        <v>88479.519000000058</v>
      </c>
      <c r="J567" t="b">
        <f>IF(energia[[#This Row],[Magazyn]]&lt;0,TRUE,FALSE)</f>
        <v>0</v>
      </c>
    </row>
    <row r="568" spans="1:10" x14ac:dyDescent="0.3">
      <c r="A568" s="1">
        <v>45406</v>
      </c>
      <c r="B568">
        <v>15</v>
      </c>
      <c r="C568">
        <v>822.86300000000006</v>
      </c>
      <c r="D568">
        <v>4556.125</v>
      </c>
      <c r="E568" t="b">
        <f>IF(energia[[#This Row],[Zrodla_wiatrowe]]&gt;C567,TRUE,FALSE)</f>
        <v>1</v>
      </c>
      <c r="F568">
        <f>IF(energia[[#This Row],[Czy wiatr rosło]],F567+1,1)</f>
        <v>6</v>
      </c>
      <c r="G568">
        <v>8903.6669999999995</v>
      </c>
      <c r="H568" s="6">
        <f>(energia[[#This Row],[Zrodla_wiatrowe]]+energia[[#This Row],[Zrodla_fotowoltaiczne]])</f>
        <v>5378.9880000000003</v>
      </c>
      <c r="I568" s="6">
        <f>I567+energia[[#This Row],[Łączna produkcja]]-energia[[#This Row],[Zapotrzebowanie]]</f>
        <v>84954.840000000055</v>
      </c>
      <c r="J568" t="b">
        <f>IF(energia[[#This Row],[Magazyn]]&lt;0,TRUE,FALSE)</f>
        <v>0</v>
      </c>
    </row>
    <row r="569" spans="1:10" x14ac:dyDescent="0.3">
      <c r="A569" s="1">
        <v>45406</v>
      </c>
      <c r="B569">
        <v>16</v>
      </c>
      <c r="C569">
        <v>922.45</v>
      </c>
      <c r="D569">
        <v>3752.7379999999998</v>
      </c>
      <c r="E569" t="b">
        <f>IF(energia[[#This Row],[Zrodla_wiatrowe]]&gt;C568,TRUE,FALSE)</f>
        <v>1</v>
      </c>
      <c r="F569">
        <f>IF(energia[[#This Row],[Czy wiatr rosło]],F568+1,1)</f>
        <v>7</v>
      </c>
      <c r="G569">
        <v>8967.0879999999997</v>
      </c>
      <c r="H569" s="6">
        <f>(energia[[#This Row],[Zrodla_wiatrowe]]+energia[[#This Row],[Zrodla_fotowoltaiczne]])</f>
        <v>4675.1880000000001</v>
      </c>
      <c r="I569" s="6">
        <f>I568+energia[[#This Row],[Łączna produkcja]]-energia[[#This Row],[Zapotrzebowanie]]</f>
        <v>80662.940000000046</v>
      </c>
      <c r="J569" t="b">
        <f>IF(energia[[#This Row],[Magazyn]]&lt;0,TRUE,FALSE)</f>
        <v>0</v>
      </c>
    </row>
    <row r="570" spans="1:10" x14ac:dyDescent="0.3">
      <c r="A570" s="1">
        <v>45406</v>
      </c>
      <c r="B570">
        <v>17</v>
      </c>
      <c r="C570">
        <v>1021.088</v>
      </c>
      <c r="D570">
        <v>2874.7249999999999</v>
      </c>
      <c r="E570" t="b">
        <f>IF(energia[[#This Row],[Zrodla_wiatrowe]]&gt;C569,TRUE,FALSE)</f>
        <v>1</v>
      </c>
      <c r="F570">
        <f>IF(energia[[#This Row],[Czy wiatr rosło]],F569+1,1)</f>
        <v>8</v>
      </c>
      <c r="G570">
        <v>8652.7890000000007</v>
      </c>
      <c r="H570" s="6">
        <f>(energia[[#This Row],[Zrodla_wiatrowe]]+energia[[#This Row],[Zrodla_fotowoltaiczne]])</f>
        <v>3895.8130000000001</v>
      </c>
      <c r="I570" s="6">
        <f>I569+energia[[#This Row],[Łączna produkcja]]-energia[[#This Row],[Zapotrzebowanie]]</f>
        <v>75905.964000000036</v>
      </c>
      <c r="J570" t="b">
        <f>IF(energia[[#This Row],[Magazyn]]&lt;0,TRUE,FALSE)</f>
        <v>0</v>
      </c>
    </row>
    <row r="571" spans="1:10" x14ac:dyDescent="0.3">
      <c r="A571" s="1">
        <v>45406</v>
      </c>
      <c r="B571">
        <v>18</v>
      </c>
      <c r="C571">
        <v>1162.538</v>
      </c>
      <c r="D571">
        <v>1860.8630000000001</v>
      </c>
      <c r="E571" t="b">
        <f>IF(energia[[#This Row],[Zrodla_wiatrowe]]&gt;C570,TRUE,FALSE)</f>
        <v>1</v>
      </c>
      <c r="F571">
        <f>IF(energia[[#This Row],[Czy wiatr rosło]],F570+1,1)</f>
        <v>9</v>
      </c>
      <c r="G571">
        <v>7944.7539999999999</v>
      </c>
      <c r="H571" s="6">
        <f>(energia[[#This Row],[Zrodla_wiatrowe]]+energia[[#This Row],[Zrodla_fotowoltaiczne]])</f>
        <v>3023.4009999999998</v>
      </c>
      <c r="I571" s="6">
        <f>I570+energia[[#This Row],[Łączna produkcja]]-energia[[#This Row],[Zapotrzebowanie]]</f>
        <v>70984.611000000034</v>
      </c>
      <c r="J571" t="b">
        <f>IF(energia[[#This Row],[Magazyn]]&lt;0,TRUE,FALSE)</f>
        <v>0</v>
      </c>
    </row>
    <row r="572" spans="1:10" x14ac:dyDescent="0.3">
      <c r="A572" s="1">
        <v>45406</v>
      </c>
      <c r="B572">
        <v>19</v>
      </c>
      <c r="C572">
        <v>1165.1379999999999</v>
      </c>
      <c r="D572">
        <v>979.18799999999999</v>
      </c>
      <c r="E572" t="b">
        <f>IF(energia[[#This Row],[Zrodla_wiatrowe]]&gt;C571,TRUE,FALSE)</f>
        <v>1</v>
      </c>
      <c r="F572">
        <f>IF(energia[[#This Row],[Czy wiatr rosło]],F571+1,1)</f>
        <v>10</v>
      </c>
      <c r="G572">
        <v>7099.7380000000003</v>
      </c>
      <c r="H572" s="6">
        <f>(energia[[#This Row],[Zrodla_wiatrowe]]+energia[[#This Row],[Zrodla_fotowoltaiczne]])</f>
        <v>2144.326</v>
      </c>
      <c r="I572" s="6">
        <f>I571+energia[[#This Row],[Łączna produkcja]]-energia[[#This Row],[Zapotrzebowanie]]</f>
        <v>66029.199000000037</v>
      </c>
      <c r="J572" t="b">
        <f>IF(energia[[#This Row],[Magazyn]]&lt;0,TRUE,FALSE)</f>
        <v>0</v>
      </c>
    </row>
    <row r="573" spans="1:10" x14ac:dyDescent="0.3">
      <c r="A573" s="1">
        <v>45406</v>
      </c>
      <c r="B573">
        <v>20</v>
      </c>
      <c r="C573">
        <v>1097.3</v>
      </c>
      <c r="D573">
        <v>281</v>
      </c>
      <c r="E573" t="b">
        <f>IF(energia[[#This Row],[Zrodla_wiatrowe]]&gt;C572,TRUE,FALSE)</f>
        <v>0</v>
      </c>
      <c r="F573">
        <f>IF(energia[[#This Row],[Czy wiatr rosło]],F572+1,1)</f>
        <v>1</v>
      </c>
      <c r="G573">
        <v>6907.5280000000002</v>
      </c>
      <c r="H573" s="6">
        <f>(energia[[#This Row],[Zrodla_wiatrowe]]+energia[[#This Row],[Zrodla_fotowoltaiczne]])</f>
        <v>1378.3</v>
      </c>
      <c r="I573" s="6">
        <f>I572+energia[[#This Row],[Łączna produkcja]]-energia[[#This Row],[Zapotrzebowanie]]</f>
        <v>60499.971000000041</v>
      </c>
      <c r="J573" t="b">
        <f>IF(energia[[#This Row],[Magazyn]]&lt;0,TRUE,FALSE)</f>
        <v>0</v>
      </c>
    </row>
    <row r="574" spans="1:10" x14ac:dyDescent="0.3">
      <c r="A574" s="1">
        <v>45406</v>
      </c>
      <c r="B574">
        <v>21</v>
      </c>
      <c r="C574">
        <v>1061.6500000000001</v>
      </c>
      <c r="D574">
        <v>20.524999999999999</v>
      </c>
      <c r="E574" t="b">
        <f>IF(energia[[#This Row],[Zrodla_wiatrowe]]&gt;C573,TRUE,FALSE)</f>
        <v>0</v>
      </c>
      <c r="F574">
        <f>IF(energia[[#This Row],[Czy wiatr rosło]],F573+1,1)</f>
        <v>1</v>
      </c>
      <c r="G574">
        <v>5367.2889999999998</v>
      </c>
      <c r="H574" s="6">
        <f>(energia[[#This Row],[Zrodla_wiatrowe]]+energia[[#This Row],[Zrodla_fotowoltaiczne]])</f>
        <v>1082.1750000000002</v>
      </c>
      <c r="I574" s="6">
        <f>I573+energia[[#This Row],[Łączna produkcja]]-energia[[#This Row],[Zapotrzebowanie]]</f>
        <v>56214.857000000047</v>
      </c>
      <c r="J574" t="b">
        <f>IF(energia[[#This Row],[Magazyn]]&lt;0,TRUE,FALSE)</f>
        <v>0</v>
      </c>
    </row>
    <row r="575" spans="1:10" x14ac:dyDescent="0.3">
      <c r="A575" s="1">
        <v>45406</v>
      </c>
      <c r="B575">
        <v>22</v>
      </c>
      <c r="C575">
        <v>1075.3630000000001</v>
      </c>
      <c r="D575">
        <v>0</v>
      </c>
      <c r="E575" t="b">
        <f>IF(energia[[#This Row],[Zrodla_wiatrowe]]&gt;C574,TRUE,FALSE)</f>
        <v>1</v>
      </c>
      <c r="F575">
        <f>IF(energia[[#This Row],[Czy wiatr rosło]],F574+1,1)</f>
        <v>2</v>
      </c>
      <c r="G575">
        <v>5180.6610000000001</v>
      </c>
      <c r="H575" s="6">
        <f>(energia[[#This Row],[Zrodla_wiatrowe]]+energia[[#This Row],[Zrodla_fotowoltaiczne]])</f>
        <v>1075.3630000000001</v>
      </c>
      <c r="I575" s="6">
        <f>I574+energia[[#This Row],[Łączna produkcja]]-energia[[#This Row],[Zapotrzebowanie]]</f>
        <v>52109.559000000045</v>
      </c>
      <c r="J575" t="b">
        <f>IF(energia[[#This Row],[Magazyn]]&lt;0,TRUE,FALSE)</f>
        <v>0</v>
      </c>
    </row>
    <row r="576" spans="1:10" x14ac:dyDescent="0.3">
      <c r="A576" s="1">
        <v>45406</v>
      </c>
      <c r="B576">
        <v>23</v>
      </c>
      <c r="C576">
        <v>1059.625</v>
      </c>
      <c r="D576">
        <v>0</v>
      </c>
      <c r="E576" t="b">
        <f>IF(energia[[#This Row],[Zrodla_wiatrowe]]&gt;C575,TRUE,FALSE)</f>
        <v>0</v>
      </c>
      <c r="F576">
        <f>IF(energia[[#This Row],[Czy wiatr rosło]],F575+1,1)</f>
        <v>1</v>
      </c>
      <c r="G576">
        <v>3209.4879999999998</v>
      </c>
      <c r="H576" s="6">
        <f>(energia[[#This Row],[Zrodla_wiatrowe]]+energia[[#This Row],[Zrodla_fotowoltaiczne]])</f>
        <v>1059.625</v>
      </c>
      <c r="I576" s="6">
        <f>I575+energia[[#This Row],[Łączna produkcja]]-energia[[#This Row],[Zapotrzebowanie]]</f>
        <v>49959.696000000047</v>
      </c>
      <c r="J576" t="b">
        <f>IF(energia[[#This Row],[Magazyn]]&lt;0,TRUE,FALSE)</f>
        <v>0</v>
      </c>
    </row>
    <row r="577" spans="1:10" x14ac:dyDescent="0.3">
      <c r="A577" s="1">
        <v>45406</v>
      </c>
      <c r="B577">
        <v>24</v>
      </c>
      <c r="C577">
        <v>943.01300000000003</v>
      </c>
      <c r="D577">
        <v>0</v>
      </c>
      <c r="E577" t="b">
        <f>IF(energia[[#This Row],[Zrodla_wiatrowe]]&gt;C576,TRUE,FALSE)</f>
        <v>0</v>
      </c>
      <c r="F577">
        <f>IF(energia[[#This Row],[Czy wiatr rosło]],F576+1,1)</f>
        <v>1</v>
      </c>
      <c r="G577">
        <v>1884.386</v>
      </c>
      <c r="H577" s="6">
        <f>(energia[[#This Row],[Zrodla_wiatrowe]]+energia[[#This Row],[Zrodla_fotowoltaiczne]])</f>
        <v>943.01300000000003</v>
      </c>
      <c r="I577" s="6">
        <f>I576+energia[[#This Row],[Łączna produkcja]]-energia[[#This Row],[Zapotrzebowanie]]</f>
        <v>49018.323000000048</v>
      </c>
      <c r="J577" t="b">
        <f>IF(energia[[#This Row],[Magazyn]]&lt;0,TRUE,FALSE)</f>
        <v>0</v>
      </c>
    </row>
    <row r="578" spans="1:10" x14ac:dyDescent="0.3">
      <c r="A578" s="1">
        <v>45407</v>
      </c>
      <c r="B578">
        <v>1</v>
      </c>
      <c r="C578">
        <v>916.68799999999999</v>
      </c>
      <c r="D578">
        <v>0</v>
      </c>
      <c r="E578" t="b">
        <f>IF(energia[[#This Row],[Zrodla_wiatrowe]]&gt;C577,TRUE,FALSE)</f>
        <v>0</v>
      </c>
      <c r="F578">
        <f>IF(energia[[#This Row],[Czy wiatr rosło]],F577+1,1)</f>
        <v>1</v>
      </c>
      <c r="G578">
        <v>1591.8150000000001</v>
      </c>
      <c r="H578" s="6">
        <f>(energia[[#This Row],[Zrodla_wiatrowe]]+energia[[#This Row],[Zrodla_fotowoltaiczne]])</f>
        <v>916.68799999999999</v>
      </c>
      <c r="I578" s="6">
        <f>I577+energia[[#This Row],[Łączna produkcja]]-energia[[#This Row],[Zapotrzebowanie]]</f>
        <v>48343.196000000047</v>
      </c>
      <c r="J578" t="b">
        <f>IF(energia[[#This Row],[Magazyn]]&lt;0,TRUE,FALSE)</f>
        <v>0</v>
      </c>
    </row>
    <row r="579" spans="1:10" x14ac:dyDescent="0.3">
      <c r="A579" s="1">
        <v>45407</v>
      </c>
      <c r="B579">
        <v>2</v>
      </c>
      <c r="C579">
        <v>812.21299999999997</v>
      </c>
      <c r="D579">
        <v>0</v>
      </c>
      <c r="E579" t="b">
        <f>IF(energia[[#This Row],[Zrodla_wiatrowe]]&gt;C578,TRUE,FALSE)</f>
        <v>0</v>
      </c>
      <c r="F579">
        <f>IF(energia[[#This Row],[Czy wiatr rosło]],F578+1,1)</f>
        <v>1</v>
      </c>
      <c r="G579">
        <v>1364.752</v>
      </c>
      <c r="H579" s="6">
        <f>(energia[[#This Row],[Zrodla_wiatrowe]]+energia[[#This Row],[Zrodla_fotowoltaiczne]])</f>
        <v>812.21299999999997</v>
      </c>
      <c r="I579" s="6">
        <f>I578+energia[[#This Row],[Łączna produkcja]]-energia[[#This Row],[Zapotrzebowanie]]</f>
        <v>47790.65700000005</v>
      </c>
      <c r="J579" t="b">
        <f>IF(energia[[#This Row],[Magazyn]]&lt;0,TRUE,FALSE)</f>
        <v>0</v>
      </c>
    </row>
    <row r="580" spans="1:10" x14ac:dyDescent="0.3">
      <c r="A580" s="1">
        <v>45407</v>
      </c>
      <c r="B580">
        <v>3</v>
      </c>
      <c r="C580">
        <v>826.8</v>
      </c>
      <c r="D580">
        <v>0</v>
      </c>
      <c r="E580" t="b">
        <f>IF(energia[[#This Row],[Zrodla_wiatrowe]]&gt;C579,TRUE,FALSE)</f>
        <v>1</v>
      </c>
      <c r="F580">
        <f>IF(energia[[#This Row],[Czy wiatr rosło]],F579+1,1)</f>
        <v>2</v>
      </c>
      <c r="G580">
        <v>1276.433</v>
      </c>
      <c r="H580" s="6">
        <f>(energia[[#This Row],[Zrodla_wiatrowe]]+energia[[#This Row],[Zrodla_fotowoltaiczne]])</f>
        <v>826.8</v>
      </c>
      <c r="I580" s="6">
        <f>I579+energia[[#This Row],[Łączna produkcja]]-energia[[#This Row],[Zapotrzebowanie]]</f>
        <v>47341.024000000056</v>
      </c>
      <c r="J580" t="b">
        <f>IF(energia[[#This Row],[Magazyn]]&lt;0,TRUE,FALSE)</f>
        <v>0</v>
      </c>
    </row>
    <row r="581" spans="1:10" x14ac:dyDescent="0.3">
      <c r="A581" s="1">
        <v>45407</v>
      </c>
      <c r="B581">
        <v>4</v>
      </c>
      <c r="C581">
        <v>789.55</v>
      </c>
      <c r="D581">
        <v>0</v>
      </c>
      <c r="E581" t="b">
        <f>IF(energia[[#This Row],[Zrodla_wiatrowe]]&gt;C580,TRUE,FALSE)</f>
        <v>0</v>
      </c>
      <c r="F581">
        <f>IF(energia[[#This Row],[Czy wiatr rosło]],F580+1,1)</f>
        <v>1</v>
      </c>
      <c r="G581">
        <v>1279.05</v>
      </c>
      <c r="H581" s="6">
        <f>(energia[[#This Row],[Zrodla_wiatrowe]]+energia[[#This Row],[Zrodla_fotowoltaiczne]])</f>
        <v>789.55</v>
      </c>
      <c r="I581" s="6">
        <f>I580+energia[[#This Row],[Łączna produkcja]]-energia[[#This Row],[Zapotrzebowanie]]</f>
        <v>46851.524000000056</v>
      </c>
      <c r="J581" t="b">
        <f>IF(energia[[#This Row],[Magazyn]]&lt;0,TRUE,FALSE)</f>
        <v>0</v>
      </c>
    </row>
    <row r="582" spans="1:10" x14ac:dyDescent="0.3">
      <c r="A582" s="1">
        <v>45407</v>
      </c>
      <c r="B582">
        <v>5</v>
      </c>
      <c r="C582">
        <v>709.35</v>
      </c>
      <c r="D582">
        <v>0</v>
      </c>
      <c r="E582" t="b">
        <f>IF(energia[[#This Row],[Zrodla_wiatrowe]]&gt;C581,TRUE,FALSE)</f>
        <v>0</v>
      </c>
      <c r="F582">
        <f>IF(energia[[#This Row],[Czy wiatr rosło]],F581+1,1)</f>
        <v>1</v>
      </c>
      <c r="G582">
        <v>1917.473</v>
      </c>
      <c r="H582" s="6">
        <f>(energia[[#This Row],[Zrodla_wiatrowe]]+energia[[#This Row],[Zrodla_fotowoltaiczne]])</f>
        <v>709.35</v>
      </c>
      <c r="I582" s="6">
        <f>I581+energia[[#This Row],[Łączna produkcja]]-energia[[#This Row],[Zapotrzebowanie]]</f>
        <v>45643.401000000056</v>
      </c>
      <c r="J582" t="b">
        <f>IF(energia[[#This Row],[Magazyn]]&lt;0,TRUE,FALSE)</f>
        <v>0</v>
      </c>
    </row>
    <row r="583" spans="1:10" x14ac:dyDescent="0.3">
      <c r="A583" s="1">
        <v>45407</v>
      </c>
      <c r="B583">
        <v>6</v>
      </c>
      <c r="C583">
        <v>649.67499999999995</v>
      </c>
      <c r="D583">
        <v>70.738</v>
      </c>
      <c r="E583" t="b">
        <f>IF(energia[[#This Row],[Zrodla_wiatrowe]]&gt;C582,TRUE,FALSE)</f>
        <v>0</v>
      </c>
      <c r="F583">
        <f>IF(energia[[#This Row],[Czy wiatr rosło]],F582+1,1)</f>
        <v>1</v>
      </c>
      <c r="G583">
        <v>3175.3989999999999</v>
      </c>
      <c r="H583" s="6">
        <f>(energia[[#This Row],[Zrodla_wiatrowe]]+energia[[#This Row],[Zrodla_fotowoltaiczne]])</f>
        <v>720.41300000000001</v>
      </c>
      <c r="I583" s="6">
        <f>I582+energia[[#This Row],[Łączna produkcja]]-energia[[#This Row],[Zapotrzebowanie]]</f>
        <v>43188.415000000059</v>
      </c>
      <c r="J583" t="b">
        <f>IF(energia[[#This Row],[Magazyn]]&lt;0,TRUE,FALSE)</f>
        <v>0</v>
      </c>
    </row>
    <row r="584" spans="1:10" x14ac:dyDescent="0.3">
      <c r="A584" s="1">
        <v>45407</v>
      </c>
      <c r="B584">
        <v>7</v>
      </c>
      <c r="C584">
        <v>643.02499999999998</v>
      </c>
      <c r="D584">
        <v>588.23800000000006</v>
      </c>
      <c r="E584" t="b">
        <f>IF(energia[[#This Row],[Zrodla_wiatrowe]]&gt;C583,TRUE,FALSE)</f>
        <v>0</v>
      </c>
      <c r="F584">
        <f>IF(energia[[#This Row],[Czy wiatr rosło]],F583+1,1)</f>
        <v>1</v>
      </c>
      <c r="G584">
        <v>4325.6409999999996</v>
      </c>
      <c r="H584" s="6">
        <f>(energia[[#This Row],[Zrodla_wiatrowe]]+energia[[#This Row],[Zrodla_fotowoltaiczne]])</f>
        <v>1231.2629999999999</v>
      </c>
      <c r="I584" s="6">
        <f>I583+energia[[#This Row],[Łączna produkcja]]-energia[[#This Row],[Zapotrzebowanie]]</f>
        <v>40094.037000000055</v>
      </c>
      <c r="J584" t="b">
        <f>IF(energia[[#This Row],[Magazyn]]&lt;0,TRUE,FALSE)</f>
        <v>0</v>
      </c>
    </row>
    <row r="585" spans="1:10" x14ac:dyDescent="0.3">
      <c r="A585" s="1">
        <v>45407</v>
      </c>
      <c r="B585">
        <v>8</v>
      </c>
      <c r="C585">
        <v>498.13799999999998</v>
      </c>
      <c r="D585">
        <v>1954.5129999999999</v>
      </c>
      <c r="E585" t="b">
        <f>IF(energia[[#This Row],[Zrodla_wiatrowe]]&gt;C584,TRUE,FALSE)</f>
        <v>0</v>
      </c>
      <c r="F585">
        <f>IF(energia[[#This Row],[Czy wiatr rosło]],F584+1,1)</f>
        <v>1</v>
      </c>
      <c r="G585">
        <v>6398.268</v>
      </c>
      <c r="H585" s="6">
        <f>(energia[[#This Row],[Zrodla_wiatrowe]]+energia[[#This Row],[Zrodla_fotowoltaiczne]])</f>
        <v>2452.6509999999998</v>
      </c>
      <c r="I585" s="6">
        <f>I584+energia[[#This Row],[Łączna produkcja]]-energia[[#This Row],[Zapotrzebowanie]]</f>
        <v>36148.420000000056</v>
      </c>
      <c r="J585" t="b">
        <f>IF(energia[[#This Row],[Magazyn]]&lt;0,TRUE,FALSE)</f>
        <v>0</v>
      </c>
    </row>
    <row r="586" spans="1:10" x14ac:dyDescent="0.3">
      <c r="A586" s="1">
        <v>45407</v>
      </c>
      <c r="B586">
        <v>9</v>
      </c>
      <c r="C586">
        <v>327.488</v>
      </c>
      <c r="D586">
        <v>3962.5880000000002</v>
      </c>
      <c r="E586" t="b">
        <f>IF(energia[[#This Row],[Zrodla_wiatrowe]]&gt;C585,TRUE,FALSE)</f>
        <v>0</v>
      </c>
      <c r="F586">
        <f>IF(energia[[#This Row],[Czy wiatr rosło]],F585+1,1)</f>
        <v>1</v>
      </c>
      <c r="G586">
        <v>7166.0550000000003</v>
      </c>
      <c r="H586" s="6">
        <f>(energia[[#This Row],[Zrodla_wiatrowe]]+energia[[#This Row],[Zrodla_fotowoltaiczne]])</f>
        <v>4290.076</v>
      </c>
      <c r="I586" s="6">
        <f>I585+energia[[#This Row],[Łączna produkcja]]-energia[[#This Row],[Zapotrzebowanie]]</f>
        <v>33272.441000000057</v>
      </c>
      <c r="J586" t="b">
        <f>IF(energia[[#This Row],[Magazyn]]&lt;0,TRUE,FALSE)</f>
        <v>0</v>
      </c>
    </row>
    <row r="587" spans="1:10" x14ac:dyDescent="0.3">
      <c r="A587" s="1">
        <v>45407</v>
      </c>
      <c r="B587">
        <v>10</v>
      </c>
      <c r="C587">
        <v>334.21300000000002</v>
      </c>
      <c r="D587">
        <v>5705.2129999999997</v>
      </c>
      <c r="E587" t="b">
        <f>IF(energia[[#This Row],[Zrodla_wiatrowe]]&gt;C586,TRUE,FALSE)</f>
        <v>1</v>
      </c>
      <c r="F587">
        <f>IF(energia[[#This Row],[Czy wiatr rosło]],F586+1,1)</f>
        <v>2</v>
      </c>
      <c r="G587">
        <v>7998.1719999999996</v>
      </c>
      <c r="H587" s="6">
        <f>(energia[[#This Row],[Zrodla_wiatrowe]]+energia[[#This Row],[Zrodla_fotowoltaiczne]])</f>
        <v>6039.4259999999995</v>
      </c>
      <c r="I587" s="6">
        <f>I586+energia[[#This Row],[Łączna produkcja]]-energia[[#This Row],[Zapotrzebowanie]]</f>
        <v>31313.695000000058</v>
      </c>
      <c r="J587" t="b">
        <f>IF(energia[[#This Row],[Magazyn]]&lt;0,TRUE,FALSE)</f>
        <v>0</v>
      </c>
    </row>
    <row r="588" spans="1:10" x14ac:dyDescent="0.3">
      <c r="A588" s="1">
        <v>45407</v>
      </c>
      <c r="B588">
        <v>11</v>
      </c>
      <c r="C588">
        <v>454.28800000000001</v>
      </c>
      <c r="D588">
        <v>6661.0630000000001</v>
      </c>
      <c r="E588" t="b">
        <f>IF(energia[[#This Row],[Zrodla_wiatrowe]]&gt;C587,TRUE,FALSE)</f>
        <v>1</v>
      </c>
      <c r="F588">
        <f>IF(energia[[#This Row],[Czy wiatr rosło]],F587+1,1)</f>
        <v>3</v>
      </c>
      <c r="G588">
        <v>7975.701</v>
      </c>
      <c r="H588" s="6">
        <f>(energia[[#This Row],[Zrodla_wiatrowe]]+energia[[#This Row],[Zrodla_fotowoltaiczne]])</f>
        <v>7115.3510000000006</v>
      </c>
      <c r="I588" s="6">
        <f>I587+energia[[#This Row],[Łączna produkcja]]-energia[[#This Row],[Zapotrzebowanie]]</f>
        <v>30453.345000000059</v>
      </c>
      <c r="J588" t="b">
        <f>IF(energia[[#This Row],[Magazyn]]&lt;0,TRUE,FALSE)</f>
        <v>0</v>
      </c>
    </row>
    <row r="589" spans="1:10" x14ac:dyDescent="0.3">
      <c r="A589" s="1">
        <v>45407</v>
      </c>
      <c r="B589">
        <v>12</v>
      </c>
      <c r="C589">
        <v>566.375</v>
      </c>
      <c r="D589">
        <v>7085.5129999999999</v>
      </c>
      <c r="E589" t="b">
        <f>IF(energia[[#This Row],[Zrodla_wiatrowe]]&gt;C588,TRUE,FALSE)</f>
        <v>1</v>
      </c>
      <c r="F589">
        <f>IF(energia[[#This Row],[Czy wiatr rosło]],F588+1,1)</f>
        <v>4</v>
      </c>
      <c r="G589">
        <v>8108.2430000000004</v>
      </c>
      <c r="H589" s="6">
        <f>(energia[[#This Row],[Zrodla_wiatrowe]]+energia[[#This Row],[Zrodla_fotowoltaiczne]])</f>
        <v>7651.8879999999999</v>
      </c>
      <c r="I589" s="6">
        <f>I588+energia[[#This Row],[Łączna produkcja]]-energia[[#This Row],[Zapotrzebowanie]]</f>
        <v>29996.990000000056</v>
      </c>
      <c r="J589" t="b">
        <f>IF(energia[[#This Row],[Magazyn]]&lt;0,TRUE,FALSE)</f>
        <v>0</v>
      </c>
    </row>
    <row r="590" spans="1:10" x14ac:dyDescent="0.3">
      <c r="A590" s="1">
        <v>45407</v>
      </c>
      <c r="B590">
        <v>13</v>
      </c>
      <c r="C590">
        <v>840.11300000000006</v>
      </c>
      <c r="D590">
        <v>7051.4880000000003</v>
      </c>
      <c r="E590" t="b">
        <f>IF(energia[[#This Row],[Zrodla_wiatrowe]]&gt;C589,TRUE,FALSE)</f>
        <v>1</v>
      </c>
      <c r="F590">
        <f>IF(energia[[#This Row],[Czy wiatr rosło]],F589+1,1)</f>
        <v>5</v>
      </c>
      <c r="G590">
        <v>8447.116</v>
      </c>
      <c r="H590" s="6">
        <f>(energia[[#This Row],[Zrodla_wiatrowe]]+energia[[#This Row],[Zrodla_fotowoltaiczne]])</f>
        <v>7891.6010000000006</v>
      </c>
      <c r="I590" s="6">
        <f>I589+energia[[#This Row],[Łączna produkcja]]-energia[[#This Row],[Zapotrzebowanie]]</f>
        <v>29441.475000000057</v>
      </c>
      <c r="J590" t="b">
        <f>IF(energia[[#This Row],[Magazyn]]&lt;0,TRUE,FALSE)</f>
        <v>0</v>
      </c>
    </row>
    <row r="591" spans="1:10" x14ac:dyDescent="0.3">
      <c r="A591" s="1">
        <v>45407</v>
      </c>
      <c r="B591">
        <v>14</v>
      </c>
      <c r="C591">
        <v>1195.9380000000001</v>
      </c>
      <c r="D591">
        <v>6787.8249999999998</v>
      </c>
      <c r="E591" t="b">
        <f>IF(energia[[#This Row],[Zrodla_wiatrowe]]&gt;C590,TRUE,FALSE)</f>
        <v>1</v>
      </c>
      <c r="F591">
        <f>IF(energia[[#This Row],[Czy wiatr rosło]],F590+1,1)</f>
        <v>6</v>
      </c>
      <c r="G591">
        <v>7980.3220000000001</v>
      </c>
      <c r="H591" s="6">
        <f>(energia[[#This Row],[Zrodla_wiatrowe]]+energia[[#This Row],[Zrodla_fotowoltaiczne]])</f>
        <v>7983.7629999999999</v>
      </c>
      <c r="I591" s="6">
        <f>I590+energia[[#This Row],[Łączna produkcja]]-energia[[#This Row],[Zapotrzebowanie]]</f>
        <v>29444.916000000056</v>
      </c>
      <c r="J591" t="b">
        <f>IF(energia[[#This Row],[Magazyn]]&lt;0,TRUE,FALSE)</f>
        <v>0</v>
      </c>
    </row>
    <row r="592" spans="1:10" x14ac:dyDescent="0.3">
      <c r="A592" s="1">
        <v>45407</v>
      </c>
      <c r="B592">
        <v>15</v>
      </c>
      <c r="C592">
        <v>1197.925</v>
      </c>
      <c r="D592">
        <v>6747.8</v>
      </c>
      <c r="E592" t="b">
        <f>IF(energia[[#This Row],[Zrodla_wiatrowe]]&gt;C591,TRUE,FALSE)</f>
        <v>1</v>
      </c>
      <c r="F592">
        <f>IF(energia[[#This Row],[Czy wiatr rosło]],F591+1,1)</f>
        <v>7</v>
      </c>
      <c r="G592">
        <v>8226.9230000000007</v>
      </c>
      <c r="H592" s="6">
        <f>(energia[[#This Row],[Zrodla_wiatrowe]]+energia[[#This Row],[Zrodla_fotowoltaiczne]])</f>
        <v>7945.7250000000004</v>
      </c>
      <c r="I592" s="6">
        <f>I591+energia[[#This Row],[Łączna produkcja]]-energia[[#This Row],[Zapotrzebowanie]]</f>
        <v>29163.718000000052</v>
      </c>
      <c r="J592" t="b">
        <f>IF(energia[[#This Row],[Magazyn]]&lt;0,TRUE,FALSE)</f>
        <v>0</v>
      </c>
    </row>
    <row r="593" spans="1:10" x14ac:dyDescent="0.3">
      <c r="A593" s="1">
        <v>45407</v>
      </c>
      <c r="B593">
        <v>16</v>
      </c>
      <c r="C593">
        <v>1209.425</v>
      </c>
      <c r="D593">
        <v>6309.6379999999999</v>
      </c>
      <c r="E593" t="b">
        <f>IF(energia[[#This Row],[Zrodla_wiatrowe]]&gt;C592,TRUE,FALSE)</f>
        <v>1</v>
      </c>
      <c r="F593">
        <f>IF(energia[[#This Row],[Czy wiatr rosło]],F592+1,1)</f>
        <v>8</v>
      </c>
      <c r="G593">
        <v>8285.5239999999994</v>
      </c>
      <c r="H593" s="6">
        <f>(energia[[#This Row],[Zrodla_wiatrowe]]+energia[[#This Row],[Zrodla_fotowoltaiczne]])</f>
        <v>7519.0630000000001</v>
      </c>
      <c r="I593" s="6">
        <f>I592+energia[[#This Row],[Łączna produkcja]]-energia[[#This Row],[Zapotrzebowanie]]</f>
        <v>28397.257000000056</v>
      </c>
      <c r="J593" t="b">
        <f>IF(energia[[#This Row],[Magazyn]]&lt;0,TRUE,FALSE)</f>
        <v>0</v>
      </c>
    </row>
    <row r="594" spans="1:10" x14ac:dyDescent="0.3">
      <c r="A594" s="1">
        <v>45407</v>
      </c>
      <c r="B594">
        <v>17</v>
      </c>
      <c r="C594">
        <v>1406.4880000000001</v>
      </c>
      <c r="D594">
        <v>4961.95</v>
      </c>
      <c r="E594" t="b">
        <f>IF(energia[[#This Row],[Zrodla_wiatrowe]]&gt;C593,TRUE,FALSE)</f>
        <v>1</v>
      </c>
      <c r="F594">
        <f>IF(energia[[#This Row],[Czy wiatr rosło]],F593+1,1)</f>
        <v>9</v>
      </c>
      <c r="G594">
        <v>7995.1139999999996</v>
      </c>
      <c r="H594" s="6">
        <f>(energia[[#This Row],[Zrodla_wiatrowe]]+energia[[#This Row],[Zrodla_fotowoltaiczne]])</f>
        <v>6368.4380000000001</v>
      </c>
      <c r="I594" s="6">
        <f>I593+energia[[#This Row],[Łączna produkcja]]-energia[[#This Row],[Zapotrzebowanie]]</f>
        <v>26770.581000000057</v>
      </c>
      <c r="J594" t="b">
        <f>IF(energia[[#This Row],[Magazyn]]&lt;0,TRUE,FALSE)</f>
        <v>0</v>
      </c>
    </row>
    <row r="595" spans="1:10" x14ac:dyDescent="0.3">
      <c r="A595" s="1">
        <v>45407</v>
      </c>
      <c r="B595">
        <v>18</v>
      </c>
      <c r="C595">
        <v>1202.213</v>
      </c>
      <c r="D595">
        <v>3556.375</v>
      </c>
      <c r="E595" t="b">
        <f>IF(energia[[#This Row],[Zrodla_wiatrowe]]&gt;C594,TRUE,FALSE)</f>
        <v>0</v>
      </c>
      <c r="F595">
        <f>IF(energia[[#This Row],[Czy wiatr rosło]],F594+1,1)</f>
        <v>1</v>
      </c>
      <c r="G595">
        <v>7340.8940000000002</v>
      </c>
      <c r="H595" s="6">
        <f>(energia[[#This Row],[Zrodla_wiatrowe]]+energia[[#This Row],[Zrodla_fotowoltaiczne]])</f>
        <v>4758.5879999999997</v>
      </c>
      <c r="I595" s="6">
        <f>I594+energia[[#This Row],[Łączna produkcja]]-energia[[#This Row],[Zapotrzebowanie]]</f>
        <v>24188.275000000056</v>
      </c>
      <c r="J595" t="b">
        <f>IF(energia[[#This Row],[Magazyn]]&lt;0,TRUE,FALSE)</f>
        <v>0</v>
      </c>
    </row>
    <row r="596" spans="1:10" x14ac:dyDescent="0.3">
      <c r="A596" s="1">
        <v>45407</v>
      </c>
      <c r="B596">
        <v>19</v>
      </c>
      <c r="C596">
        <v>812.52499999999998</v>
      </c>
      <c r="D596">
        <v>1637.338</v>
      </c>
      <c r="E596" t="b">
        <f>IF(energia[[#This Row],[Zrodla_wiatrowe]]&gt;C595,TRUE,FALSE)</f>
        <v>0</v>
      </c>
      <c r="F596">
        <f>IF(energia[[#This Row],[Czy wiatr rosło]],F595+1,1)</f>
        <v>1</v>
      </c>
      <c r="G596">
        <v>6560.1059999999998</v>
      </c>
      <c r="H596" s="6">
        <f>(energia[[#This Row],[Zrodla_wiatrowe]]+energia[[#This Row],[Zrodla_fotowoltaiczne]])</f>
        <v>2449.8629999999998</v>
      </c>
      <c r="I596" s="6">
        <f>I595+energia[[#This Row],[Łączna produkcja]]-energia[[#This Row],[Zapotrzebowanie]]</f>
        <v>20078.032000000057</v>
      </c>
      <c r="J596" t="b">
        <f>IF(energia[[#This Row],[Magazyn]]&lt;0,TRUE,FALSE)</f>
        <v>0</v>
      </c>
    </row>
    <row r="597" spans="1:10" x14ac:dyDescent="0.3">
      <c r="A597" s="1">
        <v>45407</v>
      </c>
      <c r="B597">
        <v>20</v>
      </c>
      <c r="C597">
        <v>826.71299999999997</v>
      </c>
      <c r="D597">
        <v>483.93799999999999</v>
      </c>
      <c r="E597" t="b">
        <f>IF(energia[[#This Row],[Zrodla_wiatrowe]]&gt;C596,TRUE,FALSE)</f>
        <v>1</v>
      </c>
      <c r="F597">
        <f>IF(energia[[#This Row],[Czy wiatr rosło]],F596+1,1)</f>
        <v>2</v>
      </c>
      <c r="G597">
        <v>6382.5050000000001</v>
      </c>
      <c r="H597" s="6">
        <f>(energia[[#This Row],[Zrodla_wiatrowe]]+energia[[#This Row],[Zrodla_fotowoltaiczne]])</f>
        <v>1310.6509999999998</v>
      </c>
      <c r="I597" s="6">
        <f>I596+energia[[#This Row],[Łączna produkcja]]-energia[[#This Row],[Zapotrzebowanie]]</f>
        <v>15006.178000000054</v>
      </c>
      <c r="J597" t="b">
        <f>IF(energia[[#This Row],[Magazyn]]&lt;0,TRUE,FALSE)</f>
        <v>0</v>
      </c>
    </row>
    <row r="598" spans="1:10" x14ac:dyDescent="0.3">
      <c r="A598" s="1">
        <v>45407</v>
      </c>
      <c r="B598">
        <v>21</v>
      </c>
      <c r="C598">
        <v>986.92499999999995</v>
      </c>
      <c r="D598">
        <v>43.338000000000001</v>
      </c>
      <c r="E598" t="b">
        <f>IF(energia[[#This Row],[Zrodla_wiatrowe]]&gt;C597,TRUE,FALSE)</f>
        <v>1</v>
      </c>
      <c r="F598">
        <f>IF(energia[[#This Row],[Czy wiatr rosło]],F597+1,1)</f>
        <v>3</v>
      </c>
      <c r="G598">
        <v>4959.3360000000002</v>
      </c>
      <c r="H598" s="6">
        <f>(energia[[#This Row],[Zrodla_wiatrowe]]+energia[[#This Row],[Zrodla_fotowoltaiczne]])</f>
        <v>1030.2629999999999</v>
      </c>
      <c r="I598" s="6">
        <f>I597+energia[[#This Row],[Łączna produkcja]]-energia[[#This Row],[Zapotrzebowanie]]</f>
        <v>11077.105000000054</v>
      </c>
      <c r="J598" t="b">
        <f>IF(energia[[#This Row],[Magazyn]]&lt;0,TRUE,FALSE)</f>
        <v>0</v>
      </c>
    </row>
    <row r="599" spans="1:10" x14ac:dyDescent="0.3">
      <c r="A599" s="1">
        <v>45407</v>
      </c>
      <c r="B599">
        <v>22</v>
      </c>
      <c r="C599">
        <v>1386.2</v>
      </c>
      <c r="D599">
        <v>0</v>
      </c>
      <c r="E599" t="b">
        <f>IF(energia[[#This Row],[Zrodla_wiatrowe]]&gt;C598,TRUE,FALSE)</f>
        <v>1</v>
      </c>
      <c r="F599">
        <f>IF(energia[[#This Row],[Czy wiatr rosło]],F598+1,1)</f>
        <v>4</v>
      </c>
      <c r="G599">
        <v>4786.893</v>
      </c>
      <c r="H599" s="6">
        <f>(energia[[#This Row],[Zrodla_wiatrowe]]+energia[[#This Row],[Zrodla_fotowoltaiczne]])</f>
        <v>1386.2</v>
      </c>
      <c r="I599" s="6">
        <f>I598+energia[[#This Row],[Łączna produkcja]]-energia[[#This Row],[Zapotrzebowanie]]</f>
        <v>7676.4120000000548</v>
      </c>
      <c r="J599" t="b">
        <f>IF(energia[[#This Row],[Magazyn]]&lt;0,TRUE,FALSE)</f>
        <v>0</v>
      </c>
    </row>
    <row r="600" spans="1:10" x14ac:dyDescent="0.3">
      <c r="A600" s="1">
        <v>45407</v>
      </c>
      <c r="B600">
        <v>23</v>
      </c>
      <c r="C600">
        <v>1638.1</v>
      </c>
      <c r="D600">
        <v>0</v>
      </c>
      <c r="E600" t="b">
        <f>IF(energia[[#This Row],[Zrodla_wiatrowe]]&gt;C599,TRUE,FALSE)</f>
        <v>1</v>
      </c>
      <c r="F600">
        <f>IF(energia[[#This Row],[Czy wiatr rosło]],F599+1,1)</f>
        <v>5</v>
      </c>
      <c r="G600">
        <v>2965.5439999999999</v>
      </c>
      <c r="H600" s="6">
        <f>(energia[[#This Row],[Zrodla_wiatrowe]]+energia[[#This Row],[Zrodla_fotowoltaiczne]])</f>
        <v>1638.1</v>
      </c>
      <c r="I600" s="6">
        <f>I599+energia[[#This Row],[Łączna produkcja]]-energia[[#This Row],[Zapotrzebowanie]]</f>
        <v>6348.9680000000553</v>
      </c>
      <c r="J600" t="b">
        <f>IF(energia[[#This Row],[Magazyn]]&lt;0,TRUE,FALSE)</f>
        <v>0</v>
      </c>
    </row>
    <row r="601" spans="1:10" x14ac:dyDescent="0.3">
      <c r="A601" s="1">
        <v>45407</v>
      </c>
      <c r="B601">
        <v>24</v>
      </c>
      <c r="C601">
        <v>2046.35</v>
      </c>
      <c r="D601">
        <v>0</v>
      </c>
      <c r="E601" t="b">
        <f>IF(energia[[#This Row],[Zrodla_wiatrowe]]&gt;C600,TRUE,FALSE)</f>
        <v>1</v>
      </c>
      <c r="F601">
        <f>IF(energia[[#This Row],[Czy wiatr rosło]],F600+1,1)</f>
        <v>6</v>
      </c>
      <c r="G601">
        <v>1741.1590000000001</v>
      </c>
      <c r="H601" s="6">
        <f>(energia[[#This Row],[Zrodla_wiatrowe]]+energia[[#This Row],[Zrodla_fotowoltaiczne]])</f>
        <v>2046.35</v>
      </c>
      <c r="I601" s="6">
        <f>I600+energia[[#This Row],[Łączna produkcja]]-energia[[#This Row],[Zapotrzebowanie]]</f>
        <v>6654.159000000056</v>
      </c>
      <c r="J601" t="b">
        <f>IF(energia[[#This Row],[Magazyn]]&lt;0,TRUE,FALSE)</f>
        <v>0</v>
      </c>
    </row>
    <row r="602" spans="1:10" x14ac:dyDescent="0.3">
      <c r="A602" s="1">
        <v>45408</v>
      </c>
      <c r="B602">
        <v>1</v>
      </c>
      <c r="C602">
        <v>2263.875</v>
      </c>
      <c r="D602">
        <v>0</v>
      </c>
      <c r="E602" t="b">
        <f>IF(energia[[#This Row],[Zrodla_wiatrowe]]&gt;C601,TRUE,FALSE)</f>
        <v>1</v>
      </c>
      <c r="F602">
        <f>IF(energia[[#This Row],[Czy wiatr rosło]],F601+1,1)</f>
        <v>7</v>
      </c>
      <c r="G602">
        <v>1523.9770000000001</v>
      </c>
      <c r="H602" s="6">
        <f>(energia[[#This Row],[Zrodla_wiatrowe]]+energia[[#This Row],[Zrodla_fotowoltaiczne]])</f>
        <v>2263.875</v>
      </c>
      <c r="I602" s="6">
        <f>I601+energia[[#This Row],[Łączna produkcja]]-energia[[#This Row],[Zapotrzebowanie]]</f>
        <v>7394.0570000000562</v>
      </c>
      <c r="J602" t="b">
        <f>IF(energia[[#This Row],[Magazyn]]&lt;0,TRUE,FALSE)</f>
        <v>0</v>
      </c>
    </row>
    <row r="603" spans="1:10" x14ac:dyDescent="0.3">
      <c r="A603" s="1">
        <v>45408</v>
      </c>
      <c r="B603">
        <v>2</v>
      </c>
      <c r="C603">
        <v>2458.625</v>
      </c>
      <c r="D603">
        <v>0</v>
      </c>
      <c r="E603" t="b">
        <f>IF(energia[[#This Row],[Zrodla_wiatrowe]]&gt;C602,TRUE,FALSE)</f>
        <v>1</v>
      </c>
      <c r="F603">
        <f>IF(energia[[#This Row],[Czy wiatr rosło]],F602+1,1)</f>
        <v>8</v>
      </c>
      <c r="G603">
        <v>1306.5909999999999</v>
      </c>
      <c r="H603" s="6">
        <f>(energia[[#This Row],[Zrodla_wiatrowe]]+energia[[#This Row],[Zrodla_fotowoltaiczne]])</f>
        <v>2458.625</v>
      </c>
      <c r="I603" s="6">
        <f>I602+energia[[#This Row],[Łączna produkcja]]-energia[[#This Row],[Zapotrzebowanie]]</f>
        <v>8546.0910000000549</v>
      </c>
      <c r="J603" t="b">
        <f>IF(energia[[#This Row],[Magazyn]]&lt;0,TRUE,FALSE)</f>
        <v>0</v>
      </c>
    </row>
    <row r="604" spans="1:10" x14ac:dyDescent="0.3">
      <c r="A604" s="1">
        <v>45408</v>
      </c>
      <c r="B604">
        <v>3</v>
      </c>
      <c r="C604">
        <v>2301.0749999999998</v>
      </c>
      <c r="D604">
        <v>0</v>
      </c>
      <c r="E604" t="b">
        <f>IF(energia[[#This Row],[Zrodla_wiatrowe]]&gt;C603,TRUE,FALSE)</f>
        <v>0</v>
      </c>
      <c r="F604">
        <f>IF(energia[[#This Row],[Czy wiatr rosło]],F603+1,1)</f>
        <v>1</v>
      </c>
      <c r="G604">
        <v>1222.0360000000001</v>
      </c>
      <c r="H604" s="6">
        <f>(energia[[#This Row],[Zrodla_wiatrowe]]+energia[[#This Row],[Zrodla_fotowoltaiczne]])</f>
        <v>2301.0749999999998</v>
      </c>
      <c r="I604" s="6">
        <f>I603+energia[[#This Row],[Łączna produkcja]]-energia[[#This Row],[Zapotrzebowanie]]</f>
        <v>9625.1300000000556</v>
      </c>
      <c r="J604" t="b">
        <f>IF(energia[[#This Row],[Magazyn]]&lt;0,TRUE,FALSE)</f>
        <v>0</v>
      </c>
    </row>
    <row r="605" spans="1:10" x14ac:dyDescent="0.3">
      <c r="A605" s="1">
        <v>45408</v>
      </c>
      <c r="B605">
        <v>4</v>
      </c>
      <c r="C605">
        <v>2109.3380000000002</v>
      </c>
      <c r="D605">
        <v>0</v>
      </c>
      <c r="E605" t="b">
        <f>IF(energia[[#This Row],[Zrodla_wiatrowe]]&gt;C604,TRUE,FALSE)</f>
        <v>0</v>
      </c>
      <c r="F605">
        <f>IF(energia[[#This Row],[Czy wiatr rosło]],F604+1,1)</f>
        <v>1</v>
      </c>
      <c r="G605">
        <v>1224.5409999999999</v>
      </c>
      <c r="H605" s="6">
        <f>(energia[[#This Row],[Zrodla_wiatrowe]]+energia[[#This Row],[Zrodla_fotowoltaiczne]])</f>
        <v>2109.3380000000002</v>
      </c>
      <c r="I605" s="6">
        <f>I604+energia[[#This Row],[Łączna produkcja]]-energia[[#This Row],[Zapotrzebowanie]]</f>
        <v>10509.927000000056</v>
      </c>
      <c r="J605" t="b">
        <f>IF(energia[[#This Row],[Magazyn]]&lt;0,TRUE,FALSE)</f>
        <v>0</v>
      </c>
    </row>
    <row r="606" spans="1:10" x14ac:dyDescent="0.3">
      <c r="A606" s="1">
        <v>45408</v>
      </c>
      <c r="B606">
        <v>5</v>
      </c>
      <c r="C606">
        <v>2023.55</v>
      </c>
      <c r="D606">
        <v>0</v>
      </c>
      <c r="E606" t="b">
        <f>IF(energia[[#This Row],[Zrodla_wiatrowe]]&gt;C605,TRUE,FALSE)</f>
        <v>0</v>
      </c>
      <c r="F606">
        <f>IF(energia[[#This Row],[Czy wiatr rosło]],F605+1,1)</f>
        <v>1</v>
      </c>
      <c r="G606">
        <v>1835.7570000000001</v>
      </c>
      <c r="H606" s="6">
        <f>(energia[[#This Row],[Zrodla_wiatrowe]]+energia[[#This Row],[Zrodla_fotowoltaiczne]])</f>
        <v>2023.55</v>
      </c>
      <c r="I606" s="6">
        <f>I605+energia[[#This Row],[Łączna produkcja]]-energia[[#This Row],[Zapotrzebowanie]]</f>
        <v>10697.720000000056</v>
      </c>
      <c r="J606" t="b">
        <f>IF(energia[[#This Row],[Magazyn]]&lt;0,TRUE,FALSE)</f>
        <v>0</v>
      </c>
    </row>
    <row r="607" spans="1:10" x14ac:dyDescent="0.3">
      <c r="A607" s="1">
        <v>45408</v>
      </c>
      <c r="B607">
        <v>6</v>
      </c>
      <c r="C607">
        <v>1784.9749999999999</v>
      </c>
      <c r="D607">
        <v>161.97499999999999</v>
      </c>
      <c r="E607" t="b">
        <f>IF(energia[[#This Row],[Zrodla_wiatrowe]]&gt;C606,TRUE,FALSE)</f>
        <v>0</v>
      </c>
      <c r="F607">
        <f>IF(energia[[#This Row],[Czy wiatr rosło]],F606+1,1)</f>
        <v>1</v>
      </c>
      <c r="G607">
        <v>3040.0749999999998</v>
      </c>
      <c r="H607" s="6">
        <f>(energia[[#This Row],[Zrodla_wiatrowe]]+energia[[#This Row],[Zrodla_fotowoltaiczne]])</f>
        <v>1946.9499999999998</v>
      </c>
      <c r="I607" s="6">
        <f>I606+energia[[#This Row],[Łączna produkcja]]-energia[[#This Row],[Zapotrzebowanie]]</f>
        <v>9604.5950000000557</v>
      </c>
      <c r="J607" t="b">
        <f>IF(energia[[#This Row],[Magazyn]]&lt;0,TRUE,FALSE)</f>
        <v>0</v>
      </c>
    </row>
    <row r="608" spans="1:10" x14ac:dyDescent="0.3">
      <c r="A608" s="1">
        <v>45408</v>
      </c>
      <c r="B608">
        <v>7</v>
      </c>
      <c r="C608">
        <v>1567.675</v>
      </c>
      <c r="D608">
        <v>1019.7380000000001</v>
      </c>
      <c r="E608" t="b">
        <f>IF(energia[[#This Row],[Zrodla_wiatrowe]]&gt;C607,TRUE,FALSE)</f>
        <v>0</v>
      </c>
      <c r="F608">
        <f>IF(energia[[#This Row],[Czy wiatr rosło]],F607+1,1)</f>
        <v>1</v>
      </c>
      <c r="G608">
        <v>4141.2969999999996</v>
      </c>
      <c r="H608" s="6">
        <f>(energia[[#This Row],[Zrodla_wiatrowe]]+energia[[#This Row],[Zrodla_fotowoltaiczne]])</f>
        <v>2587.413</v>
      </c>
      <c r="I608" s="6">
        <f>I607+energia[[#This Row],[Łączna produkcja]]-energia[[#This Row],[Zapotrzebowanie]]</f>
        <v>8050.7110000000566</v>
      </c>
      <c r="J608" t="b">
        <f>IF(energia[[#This Row],[Magazyn]]&lt;0,TRUE,FALSE)</f>
        <v>0</v>
      </c>
    </row>
    <row r="609" spans="1:10" x14ac:dyDescent="0.3">
      <c r="A609" s="1">
        <v>45408</v>
      </c>
      <c r="B609">
        <v>8</v>
      </c>
      <c r="C609">
        <v>964.16300000000001</v>
      </c>
      <c r="D609">
        <v>3401.7379999999998</v>
      </c>
      <c r="E609" t="b">
        <f>IF(energia[[#This Row],[Zrodla_wiatrowe]]&gt;C608,TRUE,FALSE)</f>
        <v>0</v>
      </c>
      <c r="F609">
        <f>IF(energia[[#This Row],[Czy wiatr rosło]],F608+1,1)</f>
        <v>1</v>
      </c>
      <c r="G609">
        <v>6125.5959999999995</v>
      </c>
      <c r="H609" s="6">
        <f>(energia[[#This Row],[Zrodla_wiatrowe]]+energia[[#This Row],[Zrodla_fotowoltaiczne]])</f>
        <v>4365.9009999999998</v>
      </c>
      <c r="I609" s="6">
        <f>I608+energia[[#This Row],[Łączna produkcja]]-energia[[#This Row],[Zapotrzebowanie]]</f>
        <v>6291.016000000056</v>
      </c>
      <c r="J609" t="b">
        <f>IF(energia[[#This Row],[Magazyn]]&lt;0,TRUE,FALSE)</f>
        <v>0</v>
      </c>
    </row>
    <row r="610" spans="1:10" x14ac:dyDescent="0.3">
      <c r="A610" s="1">
        <v>45408</v>
      </c>
      <c r="B610">
        <v>9</v>
      </c>
      <c r="C610">
        <v>340.32499999999999</v>
      </c>
      <c r="D610">
        <v>6584.1629999999996</v>
      </c>
      <c r="E610" t="b">
        <f>IF(energia[[#This Row],[Zrodla_wiatrowe]]&gt;C609,TRUE,FALSE)</f>
        <v>0</v>
      </c>
      <c r="F610">
        <f>IF(energia[[#This Row],[Czy wiatr rosło]],F609+1,1)</f>
        <v>1</v>
      </c>
      <c r="G610">
        <v>6860.6629999999996</v>
      </c>
      <c r="H610" s="6">
        <f>(energia[[#This Row],[Zrodla_wiatrowe]]+energia[[#This Row],[Zrodla_fotowoltaiczne]])</f>
        <v>6924.4879999999994</v>
      </c>
      <c r="I610" s="6">
        <f>I609+energia[[#This Row],[Łączna produkcja]]-energia[[#This Row],[Zapotrzebowanie]]</f>
        <v>6354.8410000000558</v>
      </c>
      <c r="J610" t="b">
        <f>IF(energia[[#This Row],[Magazyn]]&lt;0,TRUE,FALSE)</f>
        <v>0</v>
      </c>
    </row>
    <row r="611" spans="1:10" x14ac:dyDescent="0.3">
      <c r="A611" s="1">
        <v>45408</v>
      </c>
      <c r="B611">
        <v>10</v>
      </c>
      <c r="C611">
        <v>347.58800000000002</v>
      </c>
      <c r="D611">
        <v>9175.8250000000007</v>
      </c>
      <c r="E611" t="b">
        <f>IF(energia[[#This Row],[Zrodla_wiatrowe]]&gt;C610,TRUE,FALSE)</f>
        <v>1</v>
      </c>
      <c r="F611">
        <f>IF(energia[[#This Row],[Czy wiatr rosło]],F610+1,1)</f>
        <v>2</v>
      </c>
      <c r="G611">
        <v>7657.3190000000004</v>
      </c>
      <c r="H611" s="6">
        <f>(energia[[#This Row],[Zrodla_wiatrowe]]+energia[[#This Row],[Zrodla_fotowoltaiczne]])</f>
        <v>9523.4130000000005</v>
      </c>
      <c r="I611" s="6">
        <f>I610+energia[[#This Row],[Łączna produkcja]]-energia[[#This Row],[Zapotrzebowanie]]</f>
        <v>8220.9350000000559</v>
      </c>
      <c r="J611" t="b">
        <f>IF(energia[[#This Row],[Magazyn]]&lt;0,TRUE,FALSE)</f>
        <v>0</v>
      </c>
    </row>
    <row r="612" spans="1:10" x14ac:dyDescent="0.3">
      <c r="A612" s="1">
        <v>45408</v>
      </c>
      <c r="B612">
        <v>11</v>
      </c>
      <c r="C612">
        <v>794.97500000000002</v>
      </c>
      <c r="D612">
        <v>10221.475</v>
      </c>
      <c r="E612" t="b">
        <f>IF(energia[[#This Row],[Zrodla_wiatrowe]]&gt;C611,TRUE,FALSE)</f>
        <v>1</v>
      </c>
      <c r="F612">
        <f>IF(energia[[#This Row],[Czy wiatr rosło]],F611+1,1)</f>
        <v>3</v>
      </c>
      <c r="G612">
        <v>7635.8040000000001</v>
      </c>
      <c r="H612" s="6">
        <f>(energia[[#This Row],[Zrodla_wiatrowe]]+energia[[#This Row],[Zrodla_fotowoltaiczne]])</f>
        <v>11016.45</v>
      </c>
      <c r="I612" s="6">
        <f>I611+energia[[#This Row],[Łączna produkcja]]-energia[[#This Row],[Zapotrzebowanie]]</f>
        <v>11601.581000000057</v>
      </c>
      <c r="J612" t="b">
        <f>IF(energia[[#This Row],[Magazyn]]&lt;0,TRUE,FALSE)</f>
        <v>0</v>
      </c>
    </row>
    <row r="613" spans="1:10" x14ac:dyDescent="0.3">
      <c r="A613" s="1">
        <v>45408</v>
      </c>
      <c r="B613">
        <v>12</v>
      </c>
      <c r="C613">
        <v>1097.7</v>
      </c>
      <c r="D613">
        <v>9122.9249999999993</v>
      </c>
      <c r="E613" t="b">
        <f>IF(energia[[#This Row],[Zrodla_wiatrowe]]&gt;C612,TRUE,FALSE)</f>
        <v>1</v>
      </c>
      <c r="F613">
        <f>IF(energia[[#This Row],[Czy wiatr rosło]],F612+1,1)</f>
        <v>4</v>
      </c>
      <c r="G613">
        <v>7762.6980000000003</v>
      </c>
      <c r="H613" s="6">
        <f>(energia[[#This Row],[Zrodla_wiatrowe]]+energia[[#This Row],[Zrodla_fotowoltaiczne]])</f>
        <v>10220.625</v>
      </c>
      <c r="I613" s="6">
        <f>I612+energia[[#This Row],[Łączna produkcja]]-energia[[#This Row],[Zapotrzebowanie]]</f>
        <v>14059.508000000056</v>
      </c>
      <c r="J613" t="b">
        <f>IF(energia[[#This Row],[Magazyn]]&lt;0,TRUE,FALSE)</f>
        <v>0</v>
      </c>
    </row>
    <row r="614" spans="1:10" x14ac:dyDescent="0.3">
      <c r="A614" s="1">
        <v>45408</v>
      </c>
      <c r="B614">
        <v>13</v>
      </c>
      <c r="C614">
        <v>1180.2380000000001</v>
      </c>
      <c r="D614">
        <v>8306.6380000000008</v>
      </c>
      <c r="E614" t="b">
        <f>IF(energia[[#This Row],[Zrodla_wiatrowe]]&gt;C613,TRUE,FALSE)</f>
        <v>1</v>
      </c>
      <c r="F614">
        <f>IF(energia[[#This Row],[Czy wiatr rosło]],F613+1,1)</f>
        <v>5</v>
      </c>
      <c r="G614">
        <v>8087.13</v>
      </c>
      <c r="H614" s="6">
        <f>(energia[[#This Row],[Zrodla_wiatrowe]]+energia[[#This Row],[Zrodla_fotowoltaiczne]])</f>
        <v>9486.8760000000002</v>
      </c>
      <c r="I614" s="6">
        <f>I613+energia[[#This Row],[Łączna produkcja]]-energia[[#This Row],[Zapotrzebowanie]]</f>
        <v>15459.254000000055</v>
      </c>
      <c r="J614" t="b">
        <f>IF(energia[[#This Row],[Magazyn]]&lt;0,TRUE,FALSE)</f>
        <v>0</v>
      </c>
    </row>
    <row r="615" spans="1:10" x14ac:dyDescent="0.3">
      <c r="A615" s="1">
        <v>45408</v>
      </c>
      <c r="B615">
        <v>14</v>
      </c>
      <c r="C615">
        <v>1288.9000000000001</v>
      </c>
      <c r="D615">
        <v>7050.75</v>
      </c>
      <c r="E615" t="b">
        <f>IF(energia[[#This Row],[Zrodla_wiatrowe]]&gt;C614,TRUE,FALSE)</f>
        <v>1</v>
      </c>
      <c r="F615">
        <f>IF(energia[[#This Row],[Czy wiatr rosło]],F614+1,1)</f>
        <v>6</v>
      </c>
      <c r="G615">
        <v>7640.2290000000003</v>
      </c>
      <c r="H615" s="6">
        <f>(energia[[#This Row],[Zrodla_wiatrowe]]+energia[[#This Row],[Zrodla_fotowoltaiczne]])</f>
        <v>8339.65</v>
      </c>
      <c r="I615" s="6">
        <f>I614+energia[[#This Row],[Łączna produkcja]]-energia[[#This Row],[Zapotrzebowanie]]</f>
        <v>16158.675000000054</v>
      </c>
      <c r="J615" t="b">
        <f>IF(energia[[#This Row],[Magazyn]]&lt;0,TRUE,FALSE)</f>
        <v>0</v>
      </c>
    </row>
    <row r="616" spans="1:10" x14ac:dyDescent="0.3">
      <c r="A616" s="1">
        <v>45408</v>
      </c>
      <c r="B616">
        <v>15</v>
      </c>
      <c r="C616">
        <v>1493.075</v>
      </c>
      <c r="D616">
        <v>6062.5749999999998</v>
      </c>
      <c r="E616" t="b">
        <f>IF(energia[[#This Row],[Zrodla_wiatrowe]]&gt;C615,TRUE,FALSE)</f>
        <v>1</v>
      </c>
      <c r="F616">
        <f>IF(energia[[#This Row],[Czy wiatr rosło]],F615+1,1)</f>
        <v>7</v>
      </c>
      <c r="G616">
        <v>7876.3209999999999</v>
      </c>
      <c r="H616" s="6">
        <f>(energia[[#This Row],[Zrodla_wiatrowe]]+energia[[#This Row],[Zrodla_fotowoltaiczne]])</f>
        <v>7555.65</v>
      </c>
      <c r="I616" s="6">
        <f>I615+energia[[#This Row],[Łączna produkcja]]-energia[[#This Row],[Zapotrzebowanie]]</f>
        <v>15838.004000000055</v>
      </c>
      <c r="J616" t="b">
        <f>IF(energia[[#This Row],[Magazyn]]&lt;0,TRUE,FALSE)</f>
        <v>0</v>
      </c>
    </row>
    <row r="617" spans="1:10" x14ac:dyDescent="0.3">
      <c r="A617" s="1">
        <v>45408</v>
      </c>
      <c r="B617">
        <v>16</v>
      </c>
      <c r="C617">
        <v>1700.825</v>
      </c>
      <c r="D617">
        <v>5928.65</v>
      </c>
      <c r="E617" t="b">
        <f>IF(energia[[#This Row],[Zrodla_wiatrowe]]&gt;C616,TRUE,FALSE)</f>
        <v>1</v>
      </c>
      <c r="F617">
        <f>IF(energia[[#This Row],[Czy wiatr rosło]],F616+1,1)</f>
        <v>8</v>
      </c>
      <c r="G617">
        <v>7932.424</v>
      </c>
      <c r="H617" s="6">
        <f>(energia[[#This Row],[Zrodla_wiatrowe]]+energia[[#This Row],[Zrodla_fotowoltaiczne]])</f>
        <v>7629.4749999999995</v>
      </c>
      <c r="I617" s="6">
        <f>I616+energia[[#This Row],[Łączna produkcja]]-energia[[#This Row],[Zapotrzebowanie]]</f>
        <v>15535.055000000055</v>
      </c>
      <c r="J617" t="b">
        <f>IF(energia[[#This Row],[Magazyn]]&lt;0,TRUE,FALSE)</f>
        <v>0</v>
      </c>
    </row>
    <row r="618" spans="1:10" x14ac:dyDescent="0.3">
      <c r="A618" s="1">
        <v>45408</v>
      </c>
      <c r="B618">
        <v>17</v>
      </c>
      <c r="C618">
        <v>1787.45</v>
      </c>
      <c r="D618">
        <v>4994.0129999999999</v>
      </c>
      <c r="E618" t="b">
        <f>IF(energia[[#This Row],[Zrodla_wiatrowe]]&gt;C617,TRUE,FALSE)</f>
        <v>1</v>
      </c>
      <c r="F618">
        <f>IF(energia[[#This Row],[Czy wiatr rosło]],F617+1,1)</f>
        <v>9</v>
      </c>
      <c r="G618">
        <v>7654.3909999999996</v>
      </c>
      <c r="H618" s="6">
        <f>(energia[[#This Row],[Zrodla_wiatrowe]]+energia[[#This Row],[Zrodla_fotowoltaiczne]])</f>
        <v>6781.4629999999997</v>
      </c>
      <c r="I618" s="6">
        <f>I617+energia[[#This Row],[Łączna produkcja]]-energia[[#This Row],[Zapotrzebowanie]]</f>
        <v>14662.127000000055</v>
      </c>
      <c r="J618" t="b">
        <f>IF(energia[[#This Row],[Magazyn]]&lt;0,TRUE,FALSE)</f>
        <v>0</v>
      </c>
    </row>
    <row r="619" spans="1:10" x14ac:dyDescent="0.3">
      <c r="A619" s="1">
        <v>45408</v>
      </c>
      <c r="B619">
        <v>18</v>
      </c>
      <c r="C619">
        <v>1652.0250000000001</v>
      </c>
      <c r="D619">
        <v>3616.875</v>
      </c>
      <c r="E619" t="b">
        <f>IF(energia[[#This Row],[Zrodla_wiatrowe]]&gt;C618,TRUE,FALSE)</f>
        <v>0</v>
      </c>
      <c r="F619">
        <f>IF(energia[[#This Row],[Czy wiatr rosło]],F618+1,1)</f>
        <v>1</v>
      </c>
      <c r="G619">
        <v>7028.0510000000004</v>
      </c>
      <c r="H619" s="6">
        <f>(energia[[#This Row],[Zrodla_wiatrowe]]+energia[[#This Row],[Zrodla_fotowoltaiczne]])</f>
        <v>5268.9</v>
      </c>
      <c r="I619" s="6">
        <f>I618+energia[[#This Row],[Łączna produkcja]]-energia[[#This Row],[Zapotrzebowanie]]</f>
        <v>12902.976000000053</v>
      </c>
      <c r="J619" t="b">
        <f>IF(energia[[#This Row],[Magazyn]]&lt;0,TRUE,FALSE)</f>
        <v>0</v>
      </c>
    </row>
    <row r="620" spans="1:10" x14ac:dyDescent="0.3">
      <c r="A620" s="1">
        <v>45408</v>
      </c>
      <c r="B620">
        <v>19</v>
      </c>
      <c r="C620">
        <v>1363.95</v>
      </c>
      <c r="D620">
        <v>1739.125</v>
      </c>
      <c r="E620" t="b">
        <f>IF(energia[[#This Row],[Zrodla_wiatrowe]]&gt;C619,TRUE,FALSE)</f>
        <v>0</v>
      </c>
      <c r="F620">
        <f>IF(energia[[#This Row],[Czy wiatr rosło]],F619+1,1)</f>
        <v>1</v>
      </c>
      <c r="G620">
        <v>6280.5370000000003</v>
      </c>
      <c r="H620" s="6">
        <f>(energia[[#This Row],[Zrodla_wiatrowe]]+energia[[#This Row],[Zrodla_fotowoltaiczne]])</f>
        <v>3103.0749999999998</v>
      </c>
      <c r="I620" s="6">
        <f>I619+energia[[#This Row],[Łączna produkcja]]-energia[[#This Row],[Zapotrzebowanie]]</f>
        <v>9725.5140000000538</v>
      </c>
      <c r="J620" t="b">
        <f>IF(energia[[#This Row],[Magazyn]]&lt;0,TRUE,FALSE)</f>
        <v>0</v>
      </c>
    </row>
    <row r="621" spans="1:10" x14ac:dyDescent="0.3">
      <c r="A621" s="1">
        <v>45408</v>
      </c>
      <c r="B621">
        <v>20</v>
      </c>
      <c r="C621">
        <v>1101.9000000000001</v>
      </c>
      <c r="D621">
        <v>467.45</v>
      </c>
      <c r="E621" t="b">
        <f>IF(energia[[#This Row],[Zrodla_wiatrowe]]&gt;C620,TRUE,FALSE)</f>
        <v>0</v>
      </c>
      <c r="F621">
        <f>IF(energia[[#This Row],[Czy wiatr rosło]],F620+1,1)</f>
        <v>1</v>
      </c>
      <c r="G621">
        <v>6110.5050000000001</v>
      </c>
      <c r="H621" s="6">
        <f>(energia[[#This Row],[Zrodla_wiatrowe]]+energia[[#This Row],[Zrodla_fotowoltaiczne]])</f>
        <v>1569.3500000000001</v>
      </c>
      <c r="I621" s="6">
        <f>I620+energia[[#This Row],[Łączna produkcja]]-energia[[#This Row],[Zapotrzebowanie]]</f>
        <v>5184.359000000054</v>
      </c>
      <c r="J621" t="b">
        <f>IF(energia[[#This Row],[Magazyn]]&lt;0,TRUE,FALSE)</f>
        <v>0</v>
      </c>
    </row>
    <row r="622" spans="1:10" x14ac:dyDescent="0.3">
      <c r="A622" s="1">
        <v>45408</v>
      </c>
      <c r="B622">
        <v>21</v>
      </c>
      <c r="C622">
        <v>1571.6379999999999</v>
      </c>
      <c r="D622">
        <v>36.088000000000001</v>
      </c>
      <c r="E622" t="b">
        <f>IF(energia[[#This Row],[Zrodla_wiatrowe]]&gt;C621,TRUE,FALSE)</f>
        <v>1</v>
      </c>
      <c r="F622">
        <f>IF(energia[[#This Row],[Czy wiatr rosło]],F621+1,1)</f>
        <v>2</v>
      </c>
      <c r="G622">
        <v>4747.9870000000001</v>
      </c>
      <c r="H622" s="6">
        <f>(energia[[#This Row],[Zrodla_wiatrowe]]+energia[[#This Row],[Zrodla_fotowoltaiczne]])</f>
        <v>1607.7259999999999</v>
      </c>
      <c r="I622" s="6">
        <f>I621+energia[[#This Row],[Łączna produkcja]]-energia[[#This Row],[Zapotrzebowanie]]</f>
        <v>2044.0980000000536</v>
      </c>
      <c r="J622" t="b">
        <f>IF(energia[[#This Row],[Magazyn]]&lt;0,TRUE,FALSE)</f>
        <v>0</v>
      </c>
    </row>
    <row r="623" spans="1:10" x14ac:dyDescent="0.3">
      <c r="A623" s="1">
        <v>45408</v>
      </c>
      <c r="B623">
        <v>22</v>
      </c>
      <c r="C623">
        <v>2538.8380000000002</v>
      </c>
      <c r="D623">
        <v>0</v>
      </c>
      <c r="E623" t="b">
        <f>IF(energia[[#This Row],[Zrodla_wiatrowe]]&gt;C622,TRUE,FALSE)</f>
        <v>1</v>
      </c>
      <c r="F623">
        <f>IF(energia[[#This Row],[Czy wiatr rosło]],F622+1,1)</f>
        <v>3</v>
      </c>
      <c r="G623">
        <v>4582.8919999999998</v>
      </c>
      <c r="H623" s="6">
        <f>(energia[[#This Row],[Zrodla_wiatrowe]]+energia[[#This Row],[Zrodla_fotowoltaiczne]])</f>
        <v>2538.8380000000002</v>
      </c>
      <c r="I623" s="6">
        <f>I622+energia[[#This Row],[Łączna produkcja]]-energia[[#This Row],[Zapotrzebowanie]]</f>
        <v>4.4000000054438715E-2</v>
      </c>
      <c r="J623" t="b">
        <f>IF(energia[[#This Row],[Magazyn]]&lt;0,TRUE,FALSE)</f>
        <v>0</v>
      </c>
    </row>
    <row r="624" spans="1:10" x14ac:dyDescent="0.3">
      <c r="A624" s="1">
        <v>45408</v>
      </c>
      <c r="B624">
        <v>23</v>
      </c>
      <c r="C624">
        <v>3423.9</v>
      </c>
      <c r="D624">
        <v>0</v>
      </c>
      <c r="E624" t="b">
        <f>IF(energia[[#This Row],[Zrodla_wiatrowe]]&gt;C623,TRUE,FALSE)</f>
        <v>1</v>
      </c>
      <c r="F624">
        <f>IF(energia[[#This Row],[Czy wiatr rosło]],F623+1,1)</f>
        <v>4</v>
      </c>
      <c r="G624">
        <v>2839.163</v>
      </c>
      <c r="H624" s="6">
        <f>(energia[[#This Row],[Zrodla_wiatrowe]]+energia[[#This Row],[Zrodla_fotowoltaiczne]])</f>
        <v>3423.9</v>
      </c>
      <c r="I624" s="6">
        <f>I623+energia[[#This Row],[Łączna produkcja]]-energia[[#This Row],[Zapotrzebowanie]]</f>
        <v>584.78100000005452</v>
      </c>
      <c r="J624" t="b">
        <f>IF(energia[[#This Row],[Magazyn]]&lt;0,TRUE,FALSE)</f>
        <v>0</v>
      </c>
    </row>
    <row r="625" spans="1:10" x14ac:dyDescent="0.3">
      <c r="A625" s="1">
        <v>45408</v>
      </c>
      <c r="B625">
        <v>24</v>
      </c>
      <c r="C625">
        <v>3971.375</v>
      </c>
      <c r="D625">
        <v>0</v>
      </c>
      <c r="E625" t="b">
        <f>IF(energia[[#This Row],[Zrodla_wiatrowe]]&gt;C624,TRUE,FALSE)</f>
        <v>1</v>
      </c>
      <c r="F625">
        <f>IF(energia[[#This Row],[Czy wiatr rosło]],F624+1,1)</f>
        <v>5</v>
      </c>
      <c r="G625">
        <v>1666.9570000000001</v>
      </c>
      <c r="H625" s="6">
        <f>(energia[[#This Row],[Zrodla_wiatrowe]]+energia[[#This Row],[Zrodla_fotowoltaiczne]])</f>
        <v>3971.375</v>
      </c>
      <c r="I625" s="6">
        <f>I624+energia[[#This Row],[Łączna produkcja]]-energia[[#This Row],[Zapotrzebowanie]]</f>
        <v>2889.1990000000542</v>
      </c>
      <c r="J625" t="b">
        <f>IF(energia[[#This Row],[Magazyn]]&lt;0,TRUE,FALSE)</f>
        <v>0</v>
      </c>
    </row>
    <row r="626" spans="1:10" x14ac:dyDescent="0.3">
      <c r="A626" s="1">
        <v>45409</v>
      </c>
      <c r="B626">
        <v>1</v>
      </c>
      <c r="C626">
        <v>4154.6499999999996</v>
      </c>
      <c r="D626">
        <v>0</v>
      </c>
      <c r="E626" t="b">
        <f>IF(energia[[#This Row],[Zrodla_wiatrowe]]&gt;C625,TRUE,FALSE)</f>
        <v>1</v>
      </c>
      <c r="F626">
        <f>IF(energia[[#This Row],[Czy wiatr rosło]],F625+1,1)</f>
        <v>6</v>
      </c>
      <c r="G626">
        <v>1487.692</v>
      </c>
      <c r="H626" s="6">
        <f>(energia[[#This Row],[Zrodla_wiatrowe]]+energia[[#This Row],[Zrodla_fotowoltaiczne]])</f>
        <v>4154.6499999999996</v>
      </c>
      <c r="I626" s="6">
        <f>I625+energia[[#This Row],[Łączna produkcja]]-energia[[#This Row],[Zapotrzebowanie]]</f>
        <v>5556.1570000000538</v>
      </c>
      <c r="J626" t="b">
        <f>IF(energia[[#This Row],[Magazyn]]&lt;0,TRUE,FALSE)</f>
        <v>0</v>
      </c>
    </row>
    <row r="627" spans="1:10" x14ac:dyDescent="0.3">
      <c r="A627" s="1">
        <v>45409</v>
      </c>
      <c r="B627">
        <v>2</v>
      </c>
      <c r="C627">
        <v>4045.5630000000001</v>
      </c>
      <c r="D627">
        <v>0</v>
      </c>
      <c r="E627" t="b">
        <f>IF(energia[[#This Row],[Zrodla_wiatrowe]]&gt;C626,TRUE,FALSE)</f>
        <v>0</v>
      </c>
      <c r="F627">
        <f>IF(energia[[#This Row],[Czy wiatr rosło]],F626+1,1)</f>
        <v>1</v>
      </c>
      <c r="G627">
        <v>1275.481</v>
      </c>
      <c r="H627" s="6">
        <f>(energia[[#This Row],[Zrodla_wiatrowe]]+energia[[#This Row],[Zrodla_fotowoltaiczne]])</f>
        <v>4045.5630000000001</v>
      </c>
      <c r="I627" s="6">
        <f>I626+energia[[#This Row],[Łączna produkcja]]-energia[[#This Row],[Zapotrzebowanie]]</f>
        <v>8326.2390000000541</v>
      </c>
      <c r="J627" t="b">
        <f>IF(energia[[#This Row],[Magazyn]]&lt;0,TRUE,FALSE)</f>
        <v>0</v>
      </c>
    </row>
    <row r="628" spans="1:10" x14ac:dyDescent="0.3">
      <c r="A628" s="1">
        <v>45409</v>
      </c>
      <c r="B628">
        <v>3</v>
      </c>
      <c r="C628">
        <v>3708.0630000000001</v>
      </c>
      <c r="D628">
        <v>0</v>
      </c>
      <c r="E628" t="b">
        <f>IF(energia[[#This Row],[Zrodla_wiatrowe]]&gt;C627,TRUE,FALSE)</f>
        <v>0</v>
      </c>
      <c r="F628">
        <f>IF(energia[[#This Row],[Czy wiatr rosło]],F627+1,1)</f>
        <v>1</v>
      </c>
      <c r="G628">
        <v>1192.94</v>
      </c>
      <c r="H628" s="6">
        <f>(energia[[#This Row],[Zrodla_wiatrowe]]+energia[[#This Row],[Zrodla_fotowoltaiczne]])</f>
        <v>3708.0630000000001</v>
      </c>
      <c r="I628" s="6">
        <f>I627+energia[[#This Row],[Łączna produkcja]]-energia[[#This Row],[Zapotrzebowanie]]</f>
        <v>10841.362000000054</v>
      </c>
      <c r="J628" t="b">
        <f>IF(energia[[#This Row],[Magazyn]]&lt;0,TRUE,FALSE)</f>
        <v>0</v>
      </c>
    </row>
    <row r="629" spans="1:10" x14ac:dyDescent="0.3">
      <c r="A629" s="1">
        <v>45409</v>
      </c>
      <c r="B629">
        <v>4</v>
      </c>
      <c r="C629">
        <v>3345.4630000000002</v>
      </c>
      <c r="D629">
        <v>0</v>
      </c>
      <c r="E629" t="b">
        <f>IF(energia[[#This Row],[Zrodla_wiatrowe]]&gt;C628,TRUE,FALSE)</f>
        <v>0</v>
      </c>
      <c r="F629">
        <f>IF(energia[[#This Row],[Czy wiatr rosło]],F628+1,1)</f>
        <v>1</v>
      </c>
      <c r="G629">
        <v>1195.385</v>
      </c>
      <c r="H629" s="6">
        <f>(energia[[#This Row],[Zrodla_wiatrowe]]+energia[[#This Row],[Zrodla_fotowoltaiczne]])</f>
        <v>3345.4630000000002</v>
      </c>
      <c r="I629" s="6">
        <f>I628+energia[[#This Row],[Łączna produkcja]]-energia[[#This Row],[Zapotrzebowanie]]</f>
        <v>12991.440000000053</v>
      </c>
      <c r="J629" t="b">
        <f>IF(energia[[#This Row],[Magazyn]]&lt;0,TRUE,FALSE)</f>
        <v>0</v>
      </c>
    </row>
    <row r="630" spans="1:10" x14ac:dyDescent="0.3">
      <c r="A630" s="1">
        <v>45409</v>
      </c>
      <c r="B630">
        <v>5</v>
      </c>
      <c r="C630">
        <v>3113.6750000000002</v>
      </c>
      <c r="D630">
        <v>0</v>
      </c>
      <c r="E630" t="b">
        <f>IF(energia[[#This Row],[Zrodla_wiatrowe]]&gt;C629,TRUE,FALSE)</f>
        <v>0</v>
      </c>
      <c r="F630">
        <f>IF(energia[[#This Row],[Czy wiatr rosło]],F629+1,1)</f>
        <v>1</v>
      </c>
      <c r="G630">
        <v>1792.049</v>
      </c>
      <c r="H630" s="6">
        <f>(energia[[#This Row],[Zrodla_wiatrowe]]+energia[[#This Row],[Zrodla_fotowoltaiczne]])</f>
        <v>3113.6750000000002</v>
      </c>
      <c r="I630" s="6">
        <f>I629+energia[[#This Row],[Łączna produkcja]]-energia[[#This Row],[Zapotrzebowanie]]</f>
        <v>14313.066000000053</v>
      </c>
      <c r="J630" t="b">
        <f>IF(energia[[#This Row],[Magazyn]]&lt;0,TRUE,FALSE)</f>
        <v>0</v>
      </c>
    </row>
    <row r="631" spans="1:10" x14ac:dyDescent="0.3">
      <c r="A631" s="1">
        <v>45409</v>
      </c>
      <c r="B631">
        <v>6</v>
      </c>
      <c r="C631">
        <v>2879.9879999999998</v>
      </c>
      <c r="D631">
        <v>119.71299999999999</v>
      </c>
      <c r="E631" t="b">
        <f>IF(energia[[#This Row],[Zrodla_wiatrowe]]&gt;C630,TRUE,FALSE)</f>
        <v>0</v>
      </c>
      <c r="F631">
        <f>IF(energia[[#This Row],[Czy wiatr rosło]],F630+1,1)</f>
        <v>1</v>
      </c>
      <c r="G631">
        <v>2967.692</v>
      </c>
      <c r="H631" s="6">
        <f>(energia[[#This Row],[Zrodla_wiatrowe]]+energia[[#This Row],[Zrodla_fotowoltaiczne]])</f>
        <v>2999.701</v>
      </c>
      <c r="I631" s="6">
        <f>I630+energia[[#This Row],[Łączna produkcja]]-energia[[#This Row],[Zapotrzebowanie]]</f>
        <v>14345.075000000055</v>
      </c>
      <c r="J631" t="b">
        <f>IF(energia[[#This Row],[Magazyn]]&lt;0,TRUE,FALSE)</f>
        <v>0</v>
      </c>
    </row>
    <row r="632" spans="1:10" x14ac:dyDescent="0.3">
      <c r="A632" s="1">
        <v>45409</v>
      </c>
      <c r="B632">
        <v>7</v>
      </c>
      <c r="C632">
        <v>2648.2750000000001</v>
      </c>
      <c r="D632">
        <v>805.07500000000005</v>
      </c>
      <c r="E632" t="b">
        <f>IF(energia[[#This Row],[Zrodla_wiatrowe]]&gt;C631,TRUE,FALSE)</f>
        <v>0</v>
      </c>
      <c r="F632">
        <f>IF(energia[[#This Row],[Czy wiatr rosło]],F631+1,1)</f>
        <v>1</v>
      </c>
      <c r="G632">
        <v>4042.6950000000002</v>
      </c>
      <c r="H632" s="6">
        <f>(energia[[#This Row],[Zrodla_wiatrowe]]+energia[[#This Row],[Zrodla_fotowoltaiczne]])</f>
        <v>3453.3500000000004</v>
      </c>
      <c r="I632" s="6">
        <f>I631+energia[[#This Row],[Łączna produkcja]]-energia[[#This Row],[Zapotrzebowanie]]</f>
        <v>13755.730000000054</v>
      </c>
      <c r="J632" t="b">
        <f>IF(energia[[#This Row],[Magazyn]]&lt;0,TRUE,FALSE)</f>
        <v>0</v>
      </c>
    </row>
    <row r="633" spans="1:10" x14ac:dyDescent="0.3">
      <c r="A633" s="1">
        <v>45409</v>
      </c>
      <c r="B633">
        <v>8</v>
      </c>
      <c r="C633">
        <v>1875.2</v>
      </c>
      <c r="D633">
        <v>2531.3629999999998</v>
      </c>
      <c r="E633" t="b">
        <f>IF(energia[[#This Row],[Zrodla_wiatrowe]]&gt;C632,TRUE,FALSE)</f>
        <v>0</v>
      </c>
      <c r="F633">
        <f>IF(energia[[#This Row],[Czy wiatr rosło]],F632+1,1)</f>
        <v>1</v>
      </c>
      <c r="G633">
        <v>5979.7489999999998</v>
      </c>
      <c r="H633" s="6">
        <f>(energia[[#This Row],[Zrodla_wiatrowe]]+energia[[#This Row],[Zrodla_fotowoltaiczne]])</f>
        <v>4406.5630000000001</v>
      </c>
      <c r="I633" s="6">
        <f>I632+energia[[#This Row],[Łączna produkcja]]-energia[[#This Row],[Zapotrzebowanie]]</f>
        <v>12182.544000000056</v>
      </c>
      <c r="J633" t="b">
        <f>IF(energia[[#This Row],[Magazyn]]&lt;0,TRUE,FALSE)</f>
        <v>0</v>
      </c>
    </row>
    <row r="634" spans="1:10" x14ac:dyDescent="0.3">
      <c r="A634" s="1">
        <v>45409</v>
      </c>
      <c r="B634">
        <v>9</v>
      </c>
      <c r="C634">
        <v>988.23800000000006</v>
      </c>
      <c r="D634">
        <v>5034.7749999999996</v>
      </c>
      <c r="E634" t="b">
        <f>IF(energia[[#This Row],[Zrodla_wiatrowe]]&gt;C633,TRUE,FALSE)</f>
        <v>0</v>
      </c>
      <c r="F634">
        <f>IF(energia[[#This Row],[Czy wiatr rosło]],F633+1,1)</f>
        <v>1</v>
      </c>
      <c r="G634">
        <v>6697.3140000000003</v>
      </c>
      <c r="H634" s="6">
        <f>(energia[[#This Row],[Zrodla_wiatrowe]]+energia[[#This Row],[Zrodla_fotowoltaiczne]])</f>
        <v>6023.0129999999999</v>
      </c>
      <c r="I634" s="6">
        <f>I633+energia[[#This Row],[Łączna produkcja]]-energia[[#This Row],[Zapotrzebowanie]]</f>
        <v>11508.243000000055</v>
      </c>
      <c r="J634" t="b">
        <f>IF(energia[[#This Row],[Magazyn]]&lt;0,TRUE,FALSE)</f>
        <v>0</v>
      </c>
    </row>
    <row r="635" spans="1:10" x14ac:dyDescent="0.3">
      <c r="A635" s="1">
        <v>45409</v>
      </c>
      <c r="B635">
        <v>10</v>
      </c>
      <c r="C635">
        <v>623.72500000000002</v>
      </c>
      <c r="D635">
        <v>7472.6</v>
      </c>
      <c r="E635" t="b">
        <f>IF(energia[[#This Row],[Zrodla_wiatrowe]]&gt;C634,TRUE,FALSE)</f>
        <v>0</v>
      </c>
      <c r="F635">
        <f>IF(energia[[#This Row],[Czy wiatr rosło]],F634+1,1)</f>
        <v>1</v>
      </c>
      <c r="G635">
        <v>7475.0020000000004</v>
      </c>
      <c r="H635" s="6">
        <f>(energia[[#This Row],[Zrodla_wiatrowe]]+energia[[#This Row],[Zrodla_fotowoltaiczne]])</f>
        <v>8096.3250000000007</v>
      </c>
      <c r="I635" s="6">
        <f>I634+energia[[#This Row],[Łączna produkcja]]-energia[[#This Row],[Zapotrzebowanie]]</f>
        <v>12129.566000000057</v>
      </c>
      <c r="J635" t="b">
        <f>IF(energia[[#This Row],[Magazyn]]&lt;0,TRUE,FALSE)</f>
        <v>0</v>
      </c>
    </row>
    <row r="636" spans="1:10" x14ac:dyDescent="0.3">
      <c r="A636" s="1">
        <v>45409</v>
      </c>
      <c r="B636">
        <v>11</v>
      </c>
      <c r="C636">
        <v>789.15</v>
      </c>
      <c r="D636">
        <v>9395.8880000000008</v>
      </c>
      <c r="E636" t="b">
        <f>IF(energia[[#This Row],[Zrodla_wiatrowe]]&gt;C635,TRUE,FALSE)</f>
        <v>1</v>
      </c>
      <c r="F636">
        <f>IF(energia[[#This Row],[Czy wiatr rosło]],F635+1,1)</f>
        <v>2</v>
      </c>
      <c r="G636">
        <v>7454</v>
      </c>
      <c r="H636" s="6">
        <f>(energia[[#This Row],[Zrodla_wiatrowe]]+energia[[#This Row],[Zrodla_fotowoltaiczne]])</f>
        <v>10185.038</v>
      </c>
      <c r="I636" s="6">
        <f>I635+energia[[#This Row],[Łączna produkcja]]-energia[[#This Row],[Zapotrzebowanie]]</f>
        <v>14860.604000000058</v>
      </c>
      <c r="J636" t="b">
        <f>IF(energia[[#This Row],[Magazyn]]&lt;0,TRUE,FALSE)</f>
        <v>0</v>
      </c>
    </row>
    <row r="637" spans="1:10" x14ac:dyDescent="0.3">
      <c r="A637" s="1">
        <v>45409</v>
      </c>
      <c r="B637">
        <v>12</v>
      </c>
      <c r="C637">
        <v>1219.3130000000001</v>
      </c>
      <c r="D637">
        <v>9911.1129999999994</v>
      </c>
      <c r="E637" t="b">
        <f>IF(energia[[#This Row],[Zrodla_wiatrowe]]&gt;C636,TRUE,FALSE)</f>
        <v>1</v>
      </c>
      <c r="F637">
        <f>IF(energia[[#This Row],[Czy wiatr rosło]],F636+1,1)</f>
        <v>3</v>
      </c>
      <c r="G637">
        <v>7577.8720000000003</v>
      </c>
      <c r="H637" s="6">
        <f>(energia[[#This Row],[Zrodla_wiatrowe]]+energia[[#This Row],[Zrodla_fotowoltaiczne]])</f>
        <v>11130.425999999999</v>
      </c>
      <c r="I637" s="6">
        <f>I636+energia[[#This Row],[Łączna produkcja]]-energia[[#This Row],[Zapotrzebowanie]]</f>
        <v>18413.158000000058</v>
      </c>
      <c r="J637" t="b">
        <f>IF(energia[[#This Row],[Magazyn]]&lt;0,TRUE,FALSE)</f>
        <v>0</v>
      </c>
    </row>
    <row r="638" spans="1:10" x14ac:dyDescent="0.3">
      <c r="A638" s="1">
        <v>45409</v>
      </c>
      <c r="B638">
        <v>13</v>
      </c>
      <c r="C638">
        <v>1398.75</v>
      </c>
      <c r="D638">
        <v>8829.7749999999996</v>
      </c>
      <c r="E638" t="b">
        <f>IF(energia[[#This Row],[Zrodla_wiatrowe]]&gt;C637,TRUE,FALSE)</f>
        <v>1</v>
      </c>
      <c r="F638">
        <f>IF(energia[[#This Row],[Czy wiatr rosło]],F637+1,1)</f>
        <v>4</v>
      </c>
      <c r="G638">
        <v>7894.5789999999997</v>
      </c>
      <c r="H638" s="6">
        <f>(energia[[#This Row],[Zrodla_wiatrowe]]+energia[[#This Row],[Zrodla_fotowoltaiczne]])</f>
        <v>10228.525</v>
      </c>
      <c r="I638" s="6">
        <f>I637+energia[[#This Row],[Łączna produkcja]]-energia[[#This Row],[Zapotrzebowanie]]</f>
        <v>20747.104000000058</v>
      </c>
      <c r="J638" t="b">
        <f>IF(energia[[#This Row],[Magazyn]]&lt;0,TRUE,FALSE)</f>
        <v>0</v>
      </c>
    </row>
    <row r="639" spans="1:10" x14ac:dyDescent="0.3">
      <c r="A639" s="1">
        <v>45409</v>
      </c>
      <c r="B639">
        <v>14</v>
      </c>
      <c r="C639">
        <v>1283.0630000000001</v>
      </c>
      <c r="D639">
        <v>7911.3</v>
      </c>
      <c r="E639" t="b">
        <f>IF(energia[[#This Row],[Zrodla_wiatrowe]]&gt;C638,TRUE,FALSE)</f>
        <v>0</v>
      </c>
      <c r="F639">
        <f>IF(energia[[#This Row],[Czy wiatr rosło]],F638+1,1)</f>
        <v>1</v>
      </c>
      <c r="G639">
        <v>7458.3180000000002</v>
      </c>
      <c r="H639" s="6">
        <f>(energia[[#This Row],[Zrodla_wiatrowe]]+energia[[#This Row],[Zrodla_fotowoltaiczne]])</f>
        <v>9194.3630000000012</v>
      </c>
      <c r="I639" s="6">
        <f>I638+energia[[#This Row],[Łączna produkcja]]-energia[[#This Row],[Zapotrzebowanie]]</f>
        <v>22483.149000000059</v>
      </c>
      <c r="J639" t="b">
        <f>IF(energia[[#This Row],[Magazyn]]&lt;0,TRUE,FALSE)</f>
        <v>0</v>
      </c>
    </row>
    <row r="640" spans="1:10" x14ac:dyDescent="0.3">
      <c r="A640" s="1">
        <v>45409</v>
      </c>
      <c r="B640">
        <v>15</v>
      </c>
      <c r="C640">
        <v>1164.413</v>
      </c>
      <c r="D640">
        <v>7714.4</v>
      </c>
      <c r="E640" t="b">
        <f>IF(energia[[#This Row],[Zrodla_wiatrowe]]&gt;C639,TRUE,FALSE)</f>
        <v>0</v>
      </c>
      <c r="F640">
        <f>IF(energia[[#This Row],[Czy wiatr rosło]],F639+1,1)</f>
        <v>1</v>
      </c>
      <c r="G640">
        <v>7688.7889999999998</v>
      </c>
      <c r="H640" s="6">
        <f>(energia[[#This Row],[Zrodla_wiatrowe]]+energia[[#This Row],[Zrodla_fotowoltaiczne]])</f>
        <v>8878.8130000000001</v>
      </c>
      <c r="I640" s="6">
        <f>I639+energia[[#This Row],[Łączna produkcja]]-energia[[#This Row],[Zapotrzebowanie]]</f>
        <v>23673.173000000057</v>
      </c>
      <c r="J640" t="b">
        <f>IF(energia[[#This Row],[Magazyn]]&lt;0,TRUE,FALSE)</f>
        <v>0</v>
      </c>
    </row>
    <row r="641" spans="1:10" x14ac:dyDescent="0.3">
      <c r="A641" s="1">
        <v>45409</v>
      </c>
      <c r="B641">
        <v>16</v>
      </c>
      <c r="C641">
        <v>1047.3630000000001</v>
      </c>
      <c r="D641">
        <v>7125.4129999999996</v>
      </c>
      <c r="E641" t="b">
        <f>IF(energia[[#This Row],[Zrodla_wiatrowe]]&gt;C640,TRUE,FALSE)</f>
        <v>0</v>
      </c>
      <c r="F641">
        <f>IF(energia[[#This Row],[Czy wiatr rosło]],F640+1,1)</f>
        <v>1</v>
      </c>
      <c r="G641">
        <v>7743.5569999999998</v>
      </c>
      <c r="H641" s="6">
        <f>(energia[[#This Row],[Zrodla_wiatrowe]]+energia[[#This Row],[Zrodla_fotowoltaiczne]])</f>
        <v>8172.7759999999998</v>
      </c>
      <c r="I641" s="6">
        <f>I640+energia[[#This Row],[Łączna produkcja]]-energia[[#This Row],[Zapotrzebowanie]]</f>
        <v>24102.392000000058</v>
      </c>
      <c r="J641" t="b">
        <f>IF(energia[[#This Row],[Magazyn]]&lt;0,TRUE,FALSE)</f>
        <v>0</v>
      </c>
    </row>
    <row r="642" spans="1:10" x14ac:dyDescent="0.3">
      <c r="A642" s="1">
        <v>45409</v>
      </c>
      <c r="B642">
        <v>17</v>
      </c>
      <c r="C642">
        <v>1025.1500000000001</v>
      </c>
      <c r="D642">
        <v>5647.45</v>
      </c>
      <c r="E642" t="b">
        <f>IF(energia[[#This Row],[Zrodla_wiatrowe]]&gt;C641,TRUE,FALSE)</f>
        <v>0</v>
      </c>
      <c r="F642">
        <f>IF(energia[[#This Row],[Czy wiatr rosło]],F641+1,1)</f>
        <v>1</v>
      </c>
      <c r="G642">
        <v>7472.143</v>
      </c>
      <c r="H642" s="6">
        <f>(energia[[#This Row],[Zrodla_wiatrowe]]+energia[[#This Row],[Zrodla_fotowoltaiczne]])</f>
        <v>6672.6</v>
      </c>
      <c r="I642" s="6">
        <f>I641+energia[[#This Row],[Łączna produkcja]]-energia[[#This Row],[Zapotrzebowanie]]</f>
        <v>23302.849000000057</v>
      </c>
      <c r="J642" t="b">
        <f>IF(energia[[#This Row],[Magazyn]]&lt;0,TRUE,FALSE)</f>
        <v>0</v>
      </c>
    </row>
    <row r="643" spans="1:10" x14ac:dyDescent="0.3">
      <c r="A643" s="1">
        <v>45409</v>
      </c>
      <c r="B643">
        <v>18</v>
      </c>
      <c r="C643">
        <v>1086.4880000000001</v>
      </c>
      <c r="D643">
        <v>4101.1379999999999</v>
      </c>
      <c r="E643" t="b">
        <f>IF(energia[[#This Row],[Zrodla_wiatrowe]]&gt;C642,TRUE,FALSE)</f>
        <v>1</v>
      </c>
      <c r="F643">
        <f>IF(energia[[#This Row],[Czy wiatr rosło]],F642+1,1)</f>
        <v>2</v>
      </c>
      <c r="G643">
        <v>6860.7169999999996</v>
      </c>
      <c r="H643" s="6">
        <f>(energia[[#This Row],[Zrodla_wiatrowe]]+energia[[#This Row],[Zrodla_fotowoltaiczne]])</f>
        <v>5187.6260000000002</v>
      </c>
      <c r="I643" s="6">
        <f>I642+energia[[#This Row],[Łączna produkcja]]-energia[[#This Row],[Zapotrzebowanie]]</f>
        <v>21629.758000000056</v>
      </c>
      <c r="J643" t="b">
        <f>IF(energia[[#This Row],[Magazyn]]&lt;0,TRUE,FALSE)</f>
        <v>0</v>
      </c>
    </row>
    <row r="644" spans="1:10" x14ac:dyDescent="0.3">
      <c r="A644" s="1">
        <v>45409</v>
      </c>
      <c r="B644">
        <v>19</v>
      </c>
      <c r="C644">
        <v>1000.438</v>
      </c>
      <c r="D644">
        <v>1819</v>
      </c>
      <c r="E644" t="b">
        <f>IF(energia[[#This Row],[Zrodla_wiatrowe]]&gt;C643,TRUE,FALSE)</f>
        <v>0</v>
      </c>
      <c r="F644">
        <f>IF(energia[[#This Row],[Czy wiatr rosło]],F643+1,1)</f>
        <v>1</v>
      </c>
      <c r="G644">
        <v>6131.0010000000002</v>
      </c>
      <c r="H644" s="6">
        <f>(energia[[#This Row],[Zrodla_wiatrowe]]+energia[[#This Row],[Zrodla_fotowoltaiczne]])</f>
        <v>2819.4380000000001</v>
      </c>
      <c r="I644" s="6">
        <f>I643+energia[[#This Row],[Łączna produkcja]]-energia[[#This Row],[Zapotrzebowanie]]</f>
        <v>18318.195000000054</v>
      </c>
      <c r="J644" t="b">
        <f>IF(energia[[#This Row],[Magazyn]]&lt;0,TRUE,FALSE)</f>
        <v>0</v>
      </c>
    </row>
    <row r="645" spans="1:10" x14ac:dyDescent="0.3">
      <c r="A645" s="1">
        <v>45409</v>
      </c>
      <c r="B645">
        <v>20</v>
      </c>
      <c r="C645">
        <v>1175.338</v>
      </c>
      <c r="D645">
        <v>490.83800000000002</v>
      </c>
      <c r="E645" t="b">
        <f>IF(energia[[#This Row],[Zrodla_wiatrowe]]&gt;C644,TRUE,FALSE)</f>
        <v>1</v>
      </c>
      <c r="F645">
        <f>IF(energia[[#This Row],[Czy wiatr rosło]],F644+1,1)</f>
        <v>2</v>
      </c>
      <c r="G645">
        <v>5965.0169999999998</v>
      </c>
      <c r="H645" s="6">
        <f>(energia[[#This Row],[Zrodla_wiatrowe]]+energia[[#This Row],[Zrodla_fotowoltaiczne]])</f>
        <v>1666.1759999999999</v>
      </c>
      <c r="I645" s="6">
        <f>I644+energia[[#This Row],[Łączna produkcja]]-energia[[#This Row],[Zapotrzebowanie]]</f>
        <v>14019.354000000054</v>
      </c>
      <c r="J645" t="b">
        <f>IF(energia[[#This Row],[Magazyn]]&lt;0,TRUE,FALSE)</f>
        <v>0</v>
      </c>
    </row>
    <row r="646" spans="1:10" x14ac:dyDescent="0.3">
      <c r="A646" s="1">
        <v>45409</v>
      </c>
      <c r="B646">
        <v>21</v>
      </c>
      <c r="C646">
        <v>1868.4380000000001</v>
      </c>
      <c r="D646">
        <v>29.363</v>
      </c>
      <c r="E646" t="b">
        <f>IF(energia[[#This Row],[Zrodla_wiatrowe]]&gt;C645,TRUE,FALSE)</f>
        <v>1</v>
      </c>
      <c r="F646">
        <f>IF(energia[[#This Row],[Czy wiatr rosło]],F645+1,1)</f>
        <v>3</v>
      </c>
      <c r="G646">
        <v>4634.9390000000003</v>
      </c>
      <c r="H646" s="6">
        <f>(energia[[#This Row],[Zrodla_wiatrowe]]+energia[[#This Row],[Zrodla_fotowoltaiczne]])</f>
        <v>1897.8010000000002</v>
      </c>
      <c r="I646" s="6">
        <f>I645+energia[[#This Row],[Łączna produkcja]]-energia[[#This Row],[Zapotrzebowanie]]</f>
        <v>11282.216000000053</v>
      </c>
      <c r="J646" t="b">
        <f>IF(energia[[#This Row],[Magazyn]]&lt;0,TRUE,FALSE)</f>
        <v>0</v>
      </c>
    </row>
    <row r="647" spans="1:10" x14ac:dyDescent="0.3">
      <c r="A647" s="1">
        <v>45409</v>
      </c>
      <c r="B647">
        <v>22</v>
      </c>
      <c r="C647">
        <v>3060.3</v>
      </c>
      <c r="D647">
        <v>0</v>
      </c>
      <c r="E647" t="b">
        <f>IF(energia[[#This Row],[Zrodla_wiatrowe]]&gt;C646,TRUE,FALSE)</f>
        <v>1</v>
      </c>
      <c r="F647">
        <f>IF(energia[[#This Row],[Czy wiatr rosło]],F646+1,1)</f>
        <v>4</v>
      </c>
      <c r="G647">
        <v>4473.7759999999998</v>
      </c>
      <c r="H647" s="6">
        <f>(energia[[#This Row],[Zrodla_wiatrowe]]+energia[[#This Row],[Zrodla_fotowoltaiczne]])</f>
        <v>3060.3</v>
      </c>
      <c r="I647" s="6">
        <f>I646+energia[[#This Row],[Łączna produkcja]]-energia[[#This Row],[Zapotrzebowanie]]</f>
        <v>9868.7400000000544</v>
      </c>
      <c r="J647" t="b">
        <f>IF(energia[[#This Row],[Magazyn]]&lt;0,TRUE,FALSE)</f>
        <v>0</v>
      </c>
    </row>
    <row r="648" spans="1:10" x14ac:dyDescent="0.3">
      <c r="A648" s="1">
        <v>45409</v>
      </c>
      <c r="B648">
        <v>23</v>
      </c>
      <c r="C648">
        <v>4255.8999999999996</v>
      </c>
      <c r="D648">
        <v>0</v>
      </c>
      <c r="E648" t="b">
        <f>IF(energia[[#This Row],[Zrodla_wiatrowe]]&gt;C647,TRUE,FALSE)</f>
        <v>1</v>
      </c>
      <c r="F648">
        <f>IF(energia[[#This Row],[Czy wiatr rosło]],F647+1,1)</f>
        <v>5</v>
      </c>
      <c r="G648">
        <v>2771.5639999999999</v>
      </c>
      <c r="H648" s="6">
        <f>(energia[[#This Row],[Zrodla_wiatrowe]]+energia[[#This Row],[Zrodla_fotowoltaiczne]])</f>
        <v>4255.8999999999996</v>
      </c>
      <c r="I648" s="6">
        <f>I647+energia[[#This Row],[Łączna produkcja]]-energia[[#This Row],[Zapotrzebowanie]]</f>
        <v>11353.076000000054</v>
      </c>
      <c r="J648" t="b">
        <f>IF(energia[[#This Row],[Magazyn]]&lt;0,TRUE,FALSE)</f>
        <v>0</v>
      </c>
    </row>
    <row r="649" spans="1:10" x14ac:dyDescent="0.3">
      <c r="A649" s="1">
        <v>45409</v>
      </c>
      <c r="B649">
        <v>24</v>
      </c>
      <c r="C649">
        <v>5003.4250000000002</v>
      </c>
      <c r="D649">
        <v>0</v>
      </c>
      <c r="E649" t="b">
        <f>IF(energia[[#This Row],[Zrodla_wiatrowe]]&gt;C648,TRUE,FALSE)</f>
        <v>1</v>
      </c>
      <c r="F649">
        <f>IF(energia[[#This Row],[Czy wiatr rosło]],F648+1,1)</f>
        <v>6</v>
      </c>
      <c r="G649">
        <v>1627.2670000000001</v>
      </c>
      <c r="H649" s="6">
        <f>(energia[[#This Row],[Zrodla_wiatrowe]]+energia[[#This Row],[Zrodla_fotowoltaiczne]])</f>
        <v>5003.4250000000002</v>
      </c>
      <c r="I649" s="6">
        <f>I648+energia[[#This Row],[Łączna produkcja]]-energia[[#This Row],[Zapotrzebowanie]]</f>
        <v>14729.234000000055</v>
      </c>
      <c r="J649" t="b">
        <f>IF(energia[[#This Row],[Magazyn]]&lt;0,TRUE,FALSE)</f>
        <v>0</v>
      </c>
    </row>
    <row r="650" spans="1:10" x14ac:dyDescent="0.3">
      <c r="A650" s="1">
        <v>45410</v>
      </c>
      <c r="B650">
        <v>1</v>
      </c>
      <c r="C650">
        <v>4937.6379999999999</v>
      </c>
      <c r="D650">
        <v>0</v>
      </c>
      <c r="E650" t="b">
        <f>IF(energia[[#This Row],[Zrodla_wiatrowe]]&gt;C649,TRUE,FALSE)</f>
        <v>0</v>
      </c>
      <c r="F650">
        <f>IF(energia[[#This Row],[Czy wiatr rosło]],F649+1,1)</f>
        <v>1</v>
      </c>
      <c r="G650">
        <v>1576.039</v>
      </c>
      <c r="H650" s="6">
        <f>(energia[[#This Row],[Zrodla_wiatrowe]]+energia[[#This Row],[Zrodla_fotowoltaiczne]])</f>
        <v>4937.6379999999999</v>
      </c>
      <c r="I650" s="6">
        <f>I649+energia[[#This Row],[Łączna produkcja]]-energia[[#This Row],[Zapotrzebowanie]]</f>
        <v>18090.833000000053</v>
      </c>
      <c r="J650" t="b">
        <f>IF(energia[[#This Row],[Magazyn]]&lt;0,TRUE,FALSE)</f>
        <v>0</v>
      </c>
    </row>
    <row r="651" spans="1:10" x14ac:dyDescent="0.3">
      <c r="A651" s="1">
        <v>45410</v>
      </c>
      <c r="B651">
        <v>2</v>
      </c>
      <c r="C651">
        <v>4861.2129999999997</v>
      </c>
      <c r="D651">
        <v>0</v>
      </c>
      <c r="E651" t="b">
        <f>IF(energia[[#This Row],[Zrodla_wiatrowe]]&gt;C650,TRUE,FALSE)</f>
        <v>0</v>
      </c>
      <c r="F651">
        <f>IF(energia[[#This Row],[Czy wiatr rosło]],F650+1,1)</f>
        <v>1</v>
      </c>
      <c r="G651">
        <v>1351.2260000000001</v>
      </c>
      <c r="H651" s="6">
        <f>(energia[[#This Row],[Zrodla_wiatrowe]]+energia[[#This Row],[Zrodla_fotowoltaiczne]])</f>
        <v>4861.2129999999997</v>
      </c>
      <c r="I651" s="6">
        <f>I650+energia[[#This Row],[Łączna produkcja]]-energia[[#This Row],[Zapotrzebowanie]]</f>
        <v>21600.820000000054</v>
      </c>
      <c r="J651" t="b">
        <f>IF(energia[[#This Row],[Magazyn]]&lt;0,TRUE,FALSE)</f>
        <v>0</v>
      </c>
    </row>
    <row r="652" spans="1:10" x14ac:dyDescent="0.3">
      <c r="A652" s="1">
        <v>45410</v>
      </c>
      <c r="B652">
        <v>3</v>
      </c>
      <c r="C652">
        <v>4697.5630000000001</v>
      </c>
      <c r="D652">
        <v>0</v>
      </c>
      <c r="E652" t="b">
        <f>IF(energia[[#This Row],[Zrodla_wiatrowe]]&gt;C651,TRUE,FALSE)</f>
        <v>0</v>
      </c>
      <c r="F652">
        <f>IF(energia[[#This Row],[Czy wiatr rosło]],F651+1,1)</f>
        <v>1</v>
      </c>
      <c r="G652">
        <v>1263.7829999999999</v>
      </c>
      <c r="H652" s="6">
        <f>(energia[[#This Row],[Zrodla_wiatrowe]]+energia[[#This Row],[Zrodla_fotowoltaiczne]])</f>
        <v>4697.5630000000001</v>
      </c>
      <c r="I652" s="6">
        <f>I651+energia[[#This Row],[Łączna produkcja]]-energia[[#This Row],[Zapotrzebowanie]]</f>
        <v>25034.600000000053</v>
      </c>
      <c r="J652" t="b">
        <f>IF(energia[[#This Row],[Magazyn]]&lt;0,TRUE,FALSE)</f>
        <v>0</v>
      </c>
    </row>
    <row r="653" spans="1:10" x14ac:dyDescent="0.3">
      <c r="A653" s="1">
        <v>45410</v>
      </c>
      <c r="B653">
        <v>4</v>
      </c>
      <c r="C653">
        <v>4528.9129999999996</v>
      </c>
      <c r="D653">
        <v>0</v>
      </c>
      <c r="E653" t="b">
        <f>IF(energia[[#This Row],[Zrodla_wiatrowe]]&gt;C652,TRUE,FALSE)</f>
        <v>0</v>
      </c>
      <c r="F653">
        <f>IF(energia[[#This Row],[Czy wiatr rosło]],F652+1,1)</f>
        <v>1</v>
      </c>
      <c r="G653">
        <v>1266.373</v>
      </c>
      <c r="H653" s="6">
        <f>(energia[[#This Row],[Zrodla_wiatrowe]]+energia[[#This Row],[Zrodla_fotowoltaiczne]])</f>
        <v>4528.9129999999996</v>
      </c>
      <c r="I653" s="6">
        <f>I652+energia[[#This Row],[Łączna produkcja]]-energia[[#This Row],[Zapotrzebowanie]]</f>
        <v>28297.140000000054</v>
      </c>
      <c r="J653" t="b">
        <f>IF(energia[[#This Row],[Magazyn]]&lt;0,TRUE,FALSE)</f>
        <v>0</v>
      </c>
    </row>
    <row r="654" spans="1:10" x14ac:dyDescent="0.3">
      <c r="A654" s="1">
        <v>45410</v>
      </c>
      <c r="B654">
        <v>5</v>
      </c>
      <c r="C654">
        <v>4417.8379999999997</v>
      </c>
      <c r="D654">
        <v>0</v>
      </c>
      <c r="E654" t="b">
        <f>IF(energia[[#This Row],[Zrodla_wiatrowe]]&gt;C653,TRUE,FALSE)</f>
        <v>0</v>
      </c>
      <c r="F654">
        <f>IF(energia[[#This Row],[Czy wiatr rosło]],F653+1,1)</f>
        <v>1</v>
      </c>
      <c r="G654">
        <v>1898.4690000000001</v>
      </c>
      <c r="H654" s="6">
        <f>(energia[[#This Row],[Zrodla_wiatrowe]]+energia[[#This Row],[Zrodla_fotowoltaiczne]])</f>
        <v>4417.8379999999997</v>
      </c>
      <c r="I654" s="6">
        <f>I653+energia[[#This Row],[Łączna produkcja]]-energia[[#This Row],[Zapotrzebowanie]]</f>
        <v>30816.509000000053</v>
      </c>
      <c r="J654" t="b">
        <f>IF(energia[[#This Row],[Magazyn]]&lt;0,TRUE,FALSE)</f>
        <v>0</v>
      </c>
    </row>
    <row r="655" spans="1:10" x14ac:dyDescent="0.3">
      <c r="A655" s="1">
        <v>45410</v>
      </c>
      <c r="B655">
        <v>6</v>
      </c>
      <c r="C655">
        <v>4356.125</v>
      </c>
      <c r="D655">
        <v>168.47499999999999</v>
      </c>
      <c r="E655" t="b">
        <f>IF(energia[[#This Row],[Zrodla_wiatrowe]]&gt;C654,TRUE,FALSE)</f>
        <v>0</v>
      </c>
      <c r="F655">
        <f>IF(energia[[#This Row],[Czy wiatr rosło]],F654+1,1)</f>
        <v>1</v>
      </c>
      <c r="G655">
        <v>3143.9290000000001</v>
      </c>
      <c r="H655" s="6">
        <f>(energia[[#This Row],[Zrodla_wiatrowe]]+energia[[#This Row],[Zrodla_fotowoltaiczne]])</f>
        <v>4524.6000000000004</v>
      </c>
      <c r="I655" s="6">
        <f>I654+energia[[#This Row],[Łączna produkcja]]-energia[[#This Row],[Zapotrzebowanie]]</f>
        <v>32197.180000000055</v>
      </c>
      <c r="J655" t="b">
        <f>IF(energia[[#This Row],[Magazyn]]&lt;0,TRUE,FALSE)</f>
        <v>0</v>
      </c>
    </row>
    <row r="656" spans="1:10" x14ac:dyDescent="0.3">
      <c r="A656" s="1">
        <v>45410</v>
      </c>
      <c r="B656">
        <v>7</v>
      </c>
      <c r="C656">
        <v>4266.1629999999996</v>
      </c>
      <c r="D656">
        <v>1088.675</v>
      </c>
      <c r="E656" t="b">
        <f>IF(energia[[#This Row],[Zrodla_wiatrowe]]&gt;C655,TRUE,FALSE)</f>
        <v>0</v>
      </c>
      <c r="F656">
        <f>IF(energia[[#This Row],[Czy wiatr rosło]],F655+1,1)</f>
        <v>1</v>
      </c>
      <c r="G656">
        <v>4282.7700000000004</v>
      </c>
      <c r="H656" s="6">
        <f>(energia[[#This Row],[Zrodla_wiatrowe]]+energia[[#This Row],[Zrodla_fotowoltaiczne]])</f>
        <v>5354.8379999999997</v>
      </c>
      <c r="I656" s="6">
        <f>I655+energia[[#This Row],[Łączna produkcja]]-energia[[#This Row],[Zapotrzebowanie]]</f>
        <v>33269.248000000051</v>
      </c>
      <c r="J656" t="b">
        <f>IF(energia[[#This Row],[Magazyn]]&lt;0,TRUE,FALSE)</f>
        <v>0</v>
      </c>
    </row>
    <row r="657" spans="1:10" x14ac:dyDescent="0.3">
      <c r="A657" s="1">
        <v>45410</v>
      </c>
      <c r="B657">
        <v>8</v>
      </c>
      <c r="C657">
        <v>3305.3130000000001</v>
      </c>
      <c r="D657">
        <v>2829.788</v>
      </c>
      <c r="E657" t="b">
        <f>IF(energia[[#This Row],[Zrodla_wiatrowe]]&gt;C656,TRUE,FALSE)</f>
        <v>0</v>
      </c>
      <c r="F657">
        <f>IF(energia[[#This Row],[Czy wiatr rosło]],F656+1,1)</f>
        <v>1</v>
      </c>
      <c r="G657">
        <v>6673.8559999999998</v>
      </c>
      <c r="H657" s="6">
        <f>(energia[[#This Row],[Zrodla_wiatrowe]]+energia[[#This Row],[Zrodla_fotowoltaiczne]])</f>
        <v>6135.1010000000006</v>
      </c>
      <c r="I657" s="6">
        <f>I656+energia[[#This Row],[Łączna produkcja]]-energia[[#This Row],[Zapotrzebowanie]]</f>
        <v>32730.493000000053</v>
      </c>
      <c r="J657" t="b">
        <f>IF(energia[[#This Row],[Magazyn]]&lt;0,TRUE,FALSE)</f>
        <v>0</v>
      </c>
    </row>
    <row r="658" spans="1:10" x14ac:dyDescent="0.3">
      <c r="A658" s="1">
        <v>45410</v>
      </c>
      <c r="B658">
        <v>9</v>
      </c>
      <c r="C658">
        <v>2211.1129999999998</v>
      </c>
      <c r="D658">
        <v>4604.8379999999997</v>
      </c>
      <c r="E658" t="b">
        <f>IF(energia[[#This Row],[Zrodla_wiatrowe]]&gt;C657,TRUE,FALSE)</f>
        <v>0</v>
      </c>
      <c r="F658">
        <f>IF(energia[[#This Row],[Czy wiatr rosło]],F657+1,1)</f>
        <v>1</v>
      </c>
      <c r="G658">
        <v>7095.0339999999997</v>
      </c>
      <c r="H658" s="6">
        <f>(energia[[#This Row],[Zrodla_wiatrowe]]+energia[[#This Row],[Zrodla_fotowoltaiczne]])</f>
        <v>6815.9509999999991</v>
      </c>
      <c r="I658" s="6">
        <f>I657+energia[[#This Row],[Łączna produkcja]]-energia[[#This Row],[Zapotrzebowanie]]</f>
        <v>32451.410000000054</v>
      </c>
      <c r="J658" t="b">
        <f>IF(energia[[#This Row],[Magazyn]]&lt;0,TRUE,FALSE)</f>
        <v>0</v>
      </c>
    </row>
    <row r="659" spans="1:10" x14ac:dyDescent="0.3">
      <c r="A659" s="1">
        <v>45410</v>
      </c>
      <c r="B659">
        <v>10</v>
      </c>
      <c r="C659">
        <v>2445.8130000000001</v>
      </c>
      <c r="D659">
        <v>5843.4380000000001</v>
      </c>
      <c r="E659" t="b">
        <f>IF(energia[[#This Row],[Zrodla_wiatrowe]]&gt;C658,TRUE,FALSE)</f>
        <v>1</v>
      </c>
      <c r="F659">
        <f>IF(energia[[#This Row],[Czy wiatr rosło]],F658+1,1)</f>
        <v>2</v>
      </c>
      <c r="G659">
        <v>7918.9040000000005</v>
      </c>
      <c r="H659" s="6">
        <f>(energia[[#This Row],[Zrodla_wiatrowe]]+energia[[#This Row],[Zrodla_fotowoltaiczne]])</f>
        <v>8289.2510000000002</v>
      </c>
      <c r="I659" s="6">
        <f>I658+energia[[#This Row],[Łączna produkcja]]-energia[[#This Row],[Zapotrzebowanie]]</f>
        <v>32821.757000000049</v>
      </c>
      <c r="J659" t="b">
        <f>IF(energia[[#This Row],[Magazyn]]&lt;0,TRUE,FALSE)</f>
        <v>0</v>
      </c>
    </row>
    <row r="660" spans="1:10" x14ac:dyDescent="0.3">
      <c r="A660" s="1">
        <v>45410</v>
      </c>
      <c r="B660">
        <v>11</v>
      </c>
      <c r="C660">
        <v>3334.0250000000001</v>
      </c>
      <c r="D660">
        <v>6848.5879999999997</v>
      </c>
      <c r="E660" t="b">
        <f>IF(energia[[#This Row],[Zrodla_wiatrowe]]&gt;C659,TRUE,FALSE)</f>
        <v>1</v>
      </c>
      <c r="F660">
        <f>IF(energia[[#This Row],[Czy wiatr rosło]],F659+1,1)</f>
        <v>3</v>
      </c>
      <c r="G660">
        <v>7896.6549999999997</v>
      </c>
      <c r="H660" s="6">
        <f>(energia[[#This Row],[Zrodla_wiatrowe]]+energia[[#This Row],[Zrodla_fotowoltaiczne]])</f>
        <v>10182.612999999999</v>
      </c>
      <c r="I660" s="6">
        <f>I659+energia[[#This Row],[Łączna produkcja]]-energia[[#This Row],[Zapotrzebowanie]]</f>
        <v>35107.715000000047</v>
      </c>
      <c r="J660" t="b">
        <f>IF(energia[[#This Row],[Magazyn]]&lt;0,TRUE,FALSE)</f>
        <v>0</v>
      </c>
    </row>
    <row r="661" spans="1:10" x14ac:dyDescent="0.3">
      <c r="A661" s="1">
        <v>45410</v>
      </c>
      <c r="B661">
        <v>12</v>
      </c>
      <c r="C661">
        <v>3987.3</v>
      </c>
      <c r="D661">
        <v>7276.5</v>
      </c>
      <c r="E661" t="b">
        <f>IF(energia[[#This Row],[Zrodla_wiatrowe]]&gt;C660,TRUE,FALSE)</f>
        <v>1</v>
      </c>
      <c r="F661">
        <f>IF(energia[[#This Row],[Czy wiatr rosło]],F660+1,1)</f>
        <v>4</v>
      </c>
      <c r="G661">
        <v>8027.8829999999998</v>
      </c>
      <c r="H661" s="6">
        <f>(energia[[#This Row],[Zrodla_wiatrowe]]+energia[[#This Row],[Zrodla_fotowoltaiczne]])</f>
        <v>11263.8</v>
      </c>
      <c r="I661" s="6">
        <f>I660+energia[[#This Row],[Łączna produkcja]]-energia[[#This Row],[Zapotrzebowanie]]</f>
        <v>38343.632000000041</v>
      </c>
      <c r="J661" t="b">
        <f>IF(energia[[#This Row],[Magazyn]]&lt;0,TRUE,FALSE)</f>
        <v>0</v>
      </c>
    </row>
    <row r="662" spans="1:10" x14ac:dyDescent="0.3">
      <c r="A662" s="1">
        <v>45410</v>
      </c>
      <c r="B662">
        <v>13</v>
      </c>
      <c r="C662">
        <v>4037.15</v>
      </c>
      <c r="D662">
        <v>7053.0379999999996</v>
      </c>
      <c r="E662" t="b">
        <f>IF(energia[[#This Row],[Zrodla_wiatrowe]]&gt;C661,TRUE,FALSE)</f>
        <v>1</v>
      </c>
      <c r="F662">
        <f>IF(energia[[#This Row],[Czy wiatr rosło]],F661+1,1)</f>
        <v>5</v>
      </c>
      <c r="G662">
        <v>8363.3979999999992</v>
      </c>
      <c r="H662" s="6">
        <f>(energia[[#This Row],[Zrodla_wiatrowe]]+energia[[#This Row],[Zrodla_fotowoltaiczne]])</f>
        <v>11090.188</v>
      </c>
      <c r="I662" s="6">
        <f>I661+energia[[#This Row],[Łączna produkcja]]-energia[[#This Row],[Zapotrzebowanie]]</f>
        <v>41070.422000000042</v>
      </c>
      <c r="J662" t="b">
        <f>IF(energia[[#This Row],[Magazyn]]&lt;0,TRUE,FALSE)</f>
        <v>0</v>
      </c>
    </row>
    <row r="663" spans="1:10" x14ac:dyDescent="0.3">
      <c r="A663" s="1">
        <v>45410</v>
      </c>
      <c r="B663">
        <v>14</v>
      </c>
      <c r="C663">
        <v>3850.6129999999998</v>
      </c>
      <c r="D663">
        <v>5970.6</v>
      </c>
      <c r="E663" t="b">
        <f>IF(energia[[#This Row],[Zrodla_wiatrowe]]&gt;C662,TRUE,FALSE)</f>
        <v>0</v>
      </c>
      <c r="F663">
        <f>IF(energia[[#This Row],[Czy wiatr rosło]],F662+1,1)</f>
        <v>1</v>
      </c>
      <c r="G663">
        <v>7901.23</v>
      </c>
      <c r="H663" s="6">
        <f>(energia[[#This Row],[Zrodla_wiatrowe]]+energia[[#This Row],[Zrodla_fotowoltaiczne]])</f>
        <v>9821.2129999999997</v>
      </c>
      <c r="I663" s="6">
        <f>I662+energia[[#This Row],[Łączna produkcja]]-energia[[#This Row],[Zapotrzebowanie]]</f>
        <v>42990.405000000042</v>
      </c>
      <c r="J663" t="b">
        <f>IF(energia[[#This Row],[Magazyn]]&lt;0,TRUE,FALSE)</f>
        <v>0</v>
      </c>
    </row>
    <row r="664" spans="1:10" x14ac:dyDescent="0.3">
      <c r="A664" s="1">
        <v>45410</v>
      </c>
      <c r="B664">
        <v>15</v>
      </c>
      <c r="C664">
        <v>3850.9380000000001</v>
      </c>
      <c r="D664">
        <v>5464.1</v>
      </c>
      <c r="E664" t="b">
        <f>IF(energia[[#This Row],[Zrodla_wiatrowe]]&gt;C663,TRUE,FALSE)</f>
        <v>1</v>
      </c>
      <c r="F664">
        <f>IF(energia[[#This Row],[Czy wiatr rosło]],F663+1,1)</f>
        <v>2</v>
      </c>
      <c r="G664">
        <v>8145.3869999999997</v>
      </c>
      <c r="H664" s="6">
        <f>(energia[[#This Row],[Zrodla_wiatrowe]]+energia[[#This Row],[Zrodla_fotowoltaiczne]])</f>
        <v>9315.0380000000005</v>
      </c>
      <c r="I664" s="6">
        <f>I663+energia[[#This Row],[Łączna produkcja]]-energia[[#This Row],[Zapotrzebowanie]]</f>
        <v>44160.056000000041</v>
      </c>
      <c r="J664" t="b">
        <f>IF(energia[[#This Row],[Magazyn]]&lt;0,TRUE,FALSE)</f>
        <v>0</v>
      </c>
    </row>
    <row r="665" spans="1:10" x14ac:dyDescent="0.3">
      <c r="A665" s="1">
        <v>45410</v>
      </c>
      <c r="B665">
        <v>16</v>
      </c>
      <c r="C665">
        <v>3784.788</v>
      </c>
      <c r="D665">
        <v>4990.8</v>
      </c>
      <c r="E665" t="b">
        <f>IF(energia[[#This Row],[Zrodla_wiatrowe]]&gt;C664,TRUE,FALSE)</f>
        <v>0</v>
      </c>
      <c r="F665">
        <f>IF(energia[[#This Row],[Czy wiatr rosło]],F664+1,1)</f>
        <v>1</v>
      </c>
      <c r="G665">
        <v>8203.4079999999994</v>
      </c>
      <c r="H665" s="6">
        <f>(energia[[#This Row],[Zrodla_wiatrowe]]+energia[[#This Row],[Zrodla_fotowoltaiczne]])</f>
        <v>8775.5879999999997</v>
      </c>
      <c r="I665" s="6">
        <f>I664+energia[[#This Row],[Łączna produkcja]]-energia[[#This Row],[Zapotrzebowanie]]</f>
        <v>44732.236000000048</v>
      </c>
      <c r="J665" t="b">
        <f>IF(energia[[#This Row],[Magazyn]]&lt;0,TRUE,FALSE)</f>
        <v>0</v>
      </c>
    </row>
    <row r="666" spans="1:10" x14ac:dyDescent="0.3">
      <c r="A666" s="1">
        <v>45410</v>
      </c>
      <c r="B666">
        <v>17</v>
      </c>
      <c r="C666">
        <v>3922.8</v>
      </c>
      <c r="D666">
        <v>4352.375</v>
      </c>
      <c r="E666" t="b">
        <f>IF(energia[[#This Row],[Zrodla_wiatrowe]]&gt;C665,TRUE,FALSE)</f>
        <v>1</v>
      </c>
      <c r="F666">
        <f>IF(energia[[#This Row],[Czy wiatr rosło]],F665+1,1)</f>
        <v>2</v>
      </c>
      <c r="G666">
        <v>7915.8760000000002</v>
      </c>
      <c r="H666" s="6">
        <f>(energia[[#This Row],[Zrodla_wiatrowe]]+energia[[#This Row],[Zrodla_fotowoltaiczne]])</f>
        <v>8275.1749999999993</v>
      </c>
      <c r="I666" s="6">
        <f>I665+energia[[#This Row],[Łączna produkcja]]-energia[[#This Row],[Zapotrzebowanie]]</f>
        <v>45091.535000000047</v>
      </c>
      <c r="J666" t="b">
        <f>IF(energia[[#This Row],[Magazyn]]&lt;0,TRUE,FALSE)</f>
        <v>0</v>
      </c>
    </row>
    <row r="667" spans="1:10" x14ac:dyDescent="0.3">
      <c r="A667" s="1">
        <v>45410</v>
      </c>
      <c r="B667">
        <v>18</v>
      </c>
      <c r="C667">
        <v>3755.6750000000002</v>
      </c>
      <c r="D667">
        <v>3567.15</v>
      </c>
      <c r="E667" t="b">
        <f>IF(energia[[#This Row],[Zrodla_wiatrowe]]&gt;C666,TRUE,FALSE)</f>
        <v>0</v>
      </c>
      <c r="F667">
        <f>IF(energia[[#This Row],[Czy wiatr rosło]],F666+1,1)</f>
        <v>1</v>
      </c>
      <c r="G667">
        <v>7268.14</v>
      </c>
      <c r="H667" s="6">
        <f>(energia[[#This Row],[Zrodla_wiatrowe]]+energia[[#This Row],[Zrodla_fotowoltaiczne]])</f>
        <v>7322.8250000000007</v>
      </c>
      <c r="I667" s="6">
        <f>I666+energia[[#This Row],[Łączna produkcja]]-energia[[#This Row],[Zapotrzebowanie]]</f>
        <v>45146.220000000045</v>
      </c>
      <c r="J667" t="b">
        <f>IF(energia[[#This Row],[Magazyn]]&lt;0,TRUE,FALSE)</f>
        <v>0</v>
      </c>
    </row>
    <row r="668" spans="1:10" x14ac:dyDescent="0.3">
      <c r="A668" s="1">
        <v>45410</v>
      </c>
      <c r="B668">
        <v>19</v>
      </c>
      <c r="C668">
        <v>3201.7379999999998</v>
      </c>
      <c r="D668">
        <v>2078.913</v>
      </c>
      <c r="E668" t="b">
        <f>IF(energia[[#This Row],[Zrodla_wiatrowe]]&gt;C667,TRUE,FALSE)</f>
        <v>0</v>
      </c>
      <c r="F668">
        <f>IF(energia[[#This Row],[Czy wiatr rosło]],F667+1,1)</f>
        <v>1</v>
      </c>
      <c r="G668">
        <v>6495.09</v>
      </c>
      <c r="H668" s="6">
        <f>(energia[[#This Row],[Zrodla_wiatrowe]]+energia[[#This Row],[Zrodla_fotowoltaiczne]])</f>
        <v>5280.6509999999998</v>
      </c>
      <c r="I668" s="6">
        <f>I667+energia[[#This Row],[Łączna produkcja]]-energia[[#This Row],[Zapotrzebowanie]]</f>
        <v>43931.781000000046</v>
      </c>
      <c r="J668" t="b">
        <f>IF(energia[[#This Row],[Magazyn]]&lt;0,TRUE,FALSE)</f>
        <v>0</v>
      </c>
    </row>
    <row r="669" spans="1:10" x14ac:dyDescent="0.3">
      <c r="A669" s="1">
        <v>45410</v>
      </c>
      <c r="B669">
        <v>20</v>
      </c>
      <c r="C669">
        <v>2948.0749999999998</v>
      </c>
      <c r="D669">
        <v>692.42499999999995</v>
      </c>
      <c r="E669" t="b">
        <f>IF(energia[[#This Row],[Zrodla_wiatrowe]]&gt;C668,TRUE,FALSE)</f>
        <v>0</v>
      </c>
      <c r="F669">
        <f>IF(energia[[#This Row],[Czy wiatr rosło]],F668+1,1)</f>
        <v>1</v>
      </c>
      <c r="G669">
        <v>6319.2489999999998</v>
      </c>
      <c r="H669" s="6">
        <f>(energia[[#This Row],[Zrodla_wiatrowe]]+energia[[#This Row],[Zrodla_fotowoltaiczne]])</f>
        <v>3640.5</v>
      </c>
      <c r="I669" s="6">
        <f>I668+energia[[#This Row],[Łączna produkcja]]-energia[[#This Row],[Zapotrzebowanie]]</f>
        <v>41253.03200000005</v>
      </c>
      <c r="J669" t="b">
        <f>IF(energia[[#This Row],[Magazyn]]&lt;0,TRUE,FALSE)</f>
        <v>0</v>
      </c>
    </row>
    <row r="670" spans="1:10" x14ac:dyDescent="0.3">
      <c r="A670" s="1">
        <v>45410</v>
      </c>
      <c r="B670">
        <v>21</v>
      </c>
      <c r="C670">
        <v>3687.0880000000002</v>
      </c>
      <c r="D670">
        <v>36.174999999999997</v>
      </c>
      <c r="E670" t="b">
        <f>IF(energia[[#This Row],[Zrodla_wiatrowe]]&gt;C669,TRUE,FALSE)</f>
        <v>1</v>
      </c>
      <c r="F670">
        <f>IF(energia[[#This Row],[Czy wiatr rosło]],F669+1,1)</f>
        <v>2</v>
      </c>
      <c r="G670">
        <v>4910.1850000000004</v>
      </c>
      <c r="H670" s="6">
        <f>(energia[[#This Row],[Zrodla_wiatrowe]]+energia[[#This Row],[Zrodla_fotowoltaiczne]])</f>
        <v>3723.2630000000004</v>
      </c>
      <c r="I670" s="6">
        <f>I669+energia[[#This Row],[Łączna produkcja]]-energia[[#This Row],[Zapotrzebowanie]]</f>
        <v>40066.110000000052</v>
      </c>
      <c r="J670" t="b">
        <f>IF(energia[[#This Row],[Magazyn]]&lt;0,TRUE,FALSE)</f>
        <v>0</v>
      </c>
    </row>
    <row r="671" spans="1:10" x14ac:dyDescent="0.3">
      <c r="A671" s="1">
        <v>45410</v>
      </c>
      <c r="B671">
        <v>22</v>
      </c>
      <c r="C671">
        <v>4782.7129999999997</v>
      </c>
      <c r="D671">
        <v>0</v>
      </c>
      <c r="E671" t="b">
        <f>IF(energia[[#This Row],[Zrodla_wiatrowe]]&gt;C670,TRUE,FALSE)</f>
        <v>1</v>
      </c>
      <c r="F671">
        <f>IF(energia[[#This Row],[Czy wiatr rosło]],F670+1,1)</f>
        <v>3</v>
      </c>
      <c r="G671">
        <v>4739.451</v>
      </c>
      <c r="H671" s="6">
        <f>(energia[[#This Row],[Zrodla_wiatrowe]]+energia[[#This Row],[Zrodla_fotowoltaiczne]])</f>
        <v>4782.7129999999997</v>
      </c>
      <c r="I671" s="6">
        <f>I670+energia[[#This Row],[Łączna produkcja]]-energia[[#This Row],[Zapotrzebowanie]]</f>
        <v>40109.372000000047</v>
      </c>
      <c r="J671" t="b">
        <f>IF(energia[[#This Row],[Magazyn]]&lt;0,TRUE,FALSE)</f>
        <v>0</v>
      </c>
    </row>
    <row r="672" spans="1:10" x14ac:dyDescent="0.3">
      <c r="A672" s="1">
        <v>45410</v>
      </c>
      <c r="B672">
        <v>23</v>
      </c>
      <c r="C672">
        <v>5291.0630000000001</v>
      </c>
      <c r="D672">
        <v>0</v>
      </c>
      <c r="E672" t="b">
        <f>IF(energia[[#This Row],[Zrodla_wiatrowe]]&gt;C671,TRUE,FALSE)</f>
        <v>1</v>
      </c>
      <c r="F672">
        <f>IF(energia[[#This Row],[Czy wiatr rosło]],F671+1,1)</f>
        <v>4</v>
      </c>
      <c r="G672">
        <v>2936.1529999999998</v>
      </c>
      <c r="H672" s="6">
        <f>(energia[[#This Row],[Zrodla_wiatrowe]]+energia[[#This Row],[Zrodla_fotowoltaiczne]])</f>
        <v>5291.0630000000001</v>
      </c>
      <c r="I672" s="6">
        <f>I671+energia[[#This Row],[Łączna produkcja]]-energia[[#This Row],[Zapotrzebowanie]]</f>
        <v>42464.28200000005</v>
      </c>
      <c r="J672" t="b">
        <f>IF(energia[[#This Row],[Magazyn]]&lt;0,TRUE,FALSE)</f>
        <v>0</v>
      </c>
    </row>
    <row r="673" spans="1:10" x14ac:dyDescent="0.3">
      <c r="A673" s="1">
        <v>45410</v>
      </c>
      <c r="B673">
        <v>24</v>
      </c>
      <c r="C673">
        <v>5382.25</v>
      </c>
      <c r="D673">
        <v>0</v>
      </c>
      <c r="E673" t="b">
        <f>IF(energia[[#This Row],[Zrodla_wiatrowe]]&gt;C672,TRUE,FALSE)</f>
        <v>1</v>
      </c>
      <c r="F673">
        <f>IF(energia[[#This Row],[Czy wiatr rosło]],F672+1,1)</f>
        <v>5</v>
      </c>
      <c r="G673">
        <v>1723.903</v>
      </c>
      <c r="H673" s="6">
        <f>(energia[[#This Row],[Zrodla_wiatrowe]]+energia[[#This Row],[Zrodla_fotowoltaiczne]])</f>
        <v>5382.25</v>
      </c>
      <c r="I673" s="6">
        <f>I672+energia[[#This Row],[Łączna produkcja]]-energia[[#This Row],[Zapotrzebowanie]]</f>
        <v>46122.629000000052</v>
      </c>
      <c r="J673" t="b">
        <f>IF(energia[[#This Row],[Magazyn]]&lt;0,TRUE,FALSE)</f>
        <v>0</v>
      </c>
    </row>
    <row r="674" spans="1:10" x14ac:dyDescent="0.3">
      <c r="A674" s="1">
        <v>45411</v>
      </c>
      <c r="B674">
        <v>1</v>
      </c>
      <c r="C674">
        <v>5231.8130000000001</v>
      </c>
      <c r="D674">
        <v>0</v>
      </c>
      <c r="E674" t="b">
        <f>IF(energia[[#This Row],[Zrodla_wiatrowe]]&gt;C673,TRUE,FALSE)</f>
        <v>0</v>
      </c>
      <c r="F674">
        <f>IF(energia[[#This Row],[Czy wiatr rosło]],F673+1,1)</f>
        <v>1</v>
      </c>
      <c r="G674">
        <v>1722.7570000000001</v>
      </c>
      <c r="H674" s="6">
        <f>(energia[[#This Row],[Zrodla_wiatrowe]]+energia[[#This Row],[Zrodla_fotowoltaiczne]])</f>
        <v>5231.8130000000001</v>
      </c>
      <c r="I674" s="6">
        <f>I673+energia[[#This Row],[Łączna produkcja]]-energia[[#This Row],[Zapotrzebowanie]]</f>
        <v>49631.685000000056</v>
      </c>
      <c r="J674" t="b">
        <f>IF(energia[[#This Row],[Magazyn]]&lt;0,TRUE,FALSE)</f>
        <v>0</v>
      </c>
    </row>
    <row r="675" spans="1:10" x14ac:dyDescent="0.3">
      <c r="A675" s="1">
        <v>45411</v>
      </c>
      <c r="B675">
        <v>2</v>
      </c>
      <c r="C675">
        <v>5017.125</v>
      </c>
      <c r="D675">
        <v>0</v>
      </c>
      <c r="E675" t="b">
        <f>IF(energia[[#This Row],[Zrodla_wiatrowe]]&gt;C674,TRUE,FALSE)</f>
        <v>0</v>
      </c>
      <c r="F675">
        <f>IF(energia[[#This Row],[Czy wiatr rosło]],F674+1,1)</f>
        <v>1</v>
      </c>
      <c r="G675">
        <v>1477.0160000000001</v>
      </c>
      <c r="H675" s="6">
        <f>(energia[[#This Row],[Zrodla_wiatrowe]]+energia[[#This Row],[Zrodla_fotowoltaiczne]])</f>
        <v>5017.125</v>
      </c>
      <c r="I675" s="6">
        <f>I674+energia[[#This Row],[Łączna produkcja]]-energia[[#This Row],[Zapotrzebowanie]]</f>
        <v>53171.794000000053</v>
      </c>
      <c r="J675" t="b">
        <f>IF(energia[[#This Row],[Magazyn]]&lt;0,TRUE,FALSE)</f>
        <v>0</v>
      </c>
    </row>
    <row r="676" spans="1:10" x14ac:dyDescent="0.3">
      <c r="A676" s="1">
        <v>45411</v>
      </c>
      <c r="B676">
        <v>3</v>
      </c>
      <c r="C676">
        <v>4546.3999999999996</v>
      </c>
      <c r="D676">
        <v>0</v>
      </c>
      <c r="E676" t="b">
        <f>IF(energia[[#This Row],[Zrodla_wiatrowe]]&gt;C675,TRUE,FALSE)</f>
        <v>0</v>
      </c>
      <c r="F676">
        <f>IF(energia[[#This Row],[Czy wiatr rosło]],F675+1,1)</f>
        <v>1</v>
      </c>
      <c r="G676">
        <v>1381.432</v>
      </c>
      <c r="H676" s="6">
        <f>(energia[[#This Row],[Zrodla_wiatrowe]]+energia[[#This Row],[Zrodla_fotowoltaiczne]])</f>
        <v>4546.3999999999996</v>
      </c>
      <c r="I676" s="6">
        <f>I675+energia[[#This Row],[Łączna produkcja]]-energia[[#This Row],[Zapotrzebowanie]]</f>
        <v>56336.762000000053</v>
      </c>
      <c r="J676" t="b">
        <f>IF(energia[[#This Row],[Magazyn]]&lt;0,TRUE,FALSE)</f>
        <v>0</v>
      </c>
    </row>
    <row r="677" spans="1:10" x14ac:dyDescent="0.3">
      <c r="A677" s="1">
        <v>45411</v>
      </c>
      <c r="B677">
        <v>4</v>
      </c>
      <c r="C677">
        <v>4131.4629999999997</v>
      </c>
      <c r="D677">
        <v>0</v>
      </c>
      <c r="E677" t="b">
        <f>IF(energia[[#This Row],[Zrodla_wiatrowe]]&gt;C676,TRUE,FALSE)</f>
        <v>0</v>
      </c>
      <c r="F677">
        <f>IF(energia[[#This Row],[Czy wiatr rosło]],F676+1,1)</f>
        <v>1</v>
      </c>
      <c r="G677">
        <v>1384.2639999999999</v>
      </c>
      <c r="H677" s="6">
        <f>(energia[[#This Row],[Zrodla_wiatrowe]]+energia[[#This Row],[Zrodla_fotowoltaiczne]])</f>
        <v>4131.4629999999997</v>
      </c>
      <c r="I677" s="6">
        <f>I676+energia[[#This Row],[Łączna produkcja]]-energia[[#This Row],[Zapotrzebowanie]]</f>
        <v>59083.961000000047</v>
      </c>
      <c r="J677" t="b">
        <f>IF(energia[[#This Row],[Magazyn]]&lt;0,TRUE,FALSE)</f>
        <v>0</v>
      </c>
    </row>
    <row r="678" spans="1:10" x14ac:dyDescent="0.3">
      <c r="A678" s="1">
        <v>45411</v>
      </c>
      <c r="B678">
        <v>5</v>
      </c>
      <c r="C678">
        <v>3843.0749999999998</v>
      </c>
      <c r="D678">
        <v>0.35</v>
      </c>
      <c r="E678" t="b">
        <f>IF(energia[[#This Row],[Zrodla_wiatrowe]]&gt;C677,TRUE,FALSE)</f>
        <v>0</v>
      </c>
      <c r="F678">
        <f>IF(energia[[#This Row],[Czy wiatr rosło]],F677+1,1)</f>
        <v>1</v>
      </c>
      <c r="G678">
        <v>1736.204</v>
      </c>
      <c r="H678" s="6">
        <f>(energia[[#This Row],[Zrodla_wiatrowe]]+energia[[#This Row],[Zrodla_fotowoltaiczne]])</f>
        <v>3843.4249999999997</v>
      </c>
      <c r="I678" s="6">
        <f>I677+energia[[#This Row],[Łączna produkcja]]-energia[[#This Row],[Zapotrzebowanie]]</f>
        <v>61191.182000000052</v>
      </c>
      <c r="J678" t="b">
        <f>IF(energia[[#This Row],[Magazyn]]&lt;0,TRUE,FALSE)</f>
        <v>0</v>
      </c>
    </row>
    <row r="679" spans="1:10" x14ac:dyDescent="0.3">
      <c r="A679" s="1">
        <v>45411</v>
      </c>
      <c r="B679">
        <v>6</v>
      </c>
      <c r="C679">
        <v>3584.4</v>
      </c>
      <c r="D679">
        <v>118.938</v>
      </c>
      <c r="E679" t="b">
        <f>IF(energia[[#This Row],[Zrodla_wiatrowe]]&gt;C678,TRUE,FALSE)</f>
        <v>0</v>
      </c>
      <c r="F679">
        <f>IF(energia[[#This Row],[Czy wiatr rosło]],F678+1,1)</f>
        <v>1</v>
      </c>
      <c r="G679">
        <v>3436.607</v>
      </c>
      <c r="H679" s="6">
        <f>(energia[[#This Row],[Zrodla_wiatrowe]]+energia[[#This Row],[Zrodla_fotowoltaiczne]])</f>
        <v>3703.3380000000002</v>
      </c>
      <c r="I679" s="6">
        <f>I678+energia[[#This Row],[Łączna produkcja]]-energia[[#This Row],[Zapotrzebowanie]]</f>
        <v>61457.913000000059</v>
      </c>
      <c r="J679" t="b">
        <f>IF(energia[[#This Row],[Magazyn]]&lt;0,TRUE,FALSE)</f>
        <v>0</v>
      </c>
    </row>
    <row r="680" spans="1:10" x14ac:dyDescent="0.3">
      <c r="A680" s="1">
        <v>45411</v>
      </c>
      <c r="B680">
        <v>7</v>
      </c>
      <c r="C680">
        <v>3275.375</v>
      </c>
      <c r="D680">
        <v>937.13800000000003</v>
      </c>
      <c r="E680" t="b">
        <f>IF(energia[[#This Row],[Zrodla_wiatrowe]]&gt;C679,TRUE,FALSE)</f>
        <v>0</v>
      </c>
      <c r="F680">
        <f>IF(energia[[#This Row],[Czy wiatr rosło]],F679+1,1)</f>
        <v>1</v>
      </c>
      <c r="G680">
        <v>4681.4660000000003</v>
      </c>
      <c r="H680" s="6">
        <f>(energia[[#This Row],[Zrodla_wiatrowe]]+energia[[#This Row],[Zrodla_fotowoltaiczne]])</f>
        <v>4212.5129999999999</v>
      </c>
      <c r="I680" s="6">
        <f>I679+energia[[#This Row],[Łączna produkcja]]-energia[[#This Row],[Zapotrzebowanie]]</f>
        <v>60988.960000000065</v>
      </c>
      <c r="J680" t="b">
        <f>IF(energia[[#This Row],[Magazyn]]&lt;0,TRUE,FALSE)</f>
        <v>0</v>
      </c>
    </row>
    <row r="681" spans="1:10" x14ac:dyDescent="0.3">
      <c r="A681" s="1">
        <v>45411</v>
      </c>
      <c r="B681">
        <v>8</v>
      </c>
      <c r="C681">
        <v>2384.5880000000002</v>
      </c>
      <c r="D681">
        <v>2822.6379999999999</v>
      </c>
      <c r="E681" t="b">
        <f>IF(energia[[#This Row],[Zrodla_wiatrowe]]&gt;C680,TRUE,FALSE)</f>
        <v>0</v>
      </c>
      <c r="F681">
        <f>IF(energia[[#This Row],[Czy wiatr rosło]],F680+1,1)</f>
        <v>1</v>
      </c>
      <c r="G681">
        <v>6924.5870000000004</v>
      </c>
      <c r="H681" s="6">
        <f>(energia[[#This Row],[Zrodla_wiatrowe]]+energia[[#This Row],[Zrodla_fotowoltaiczne]])</f>
        <v>5207.2260000000006</v>
      </c>
      <c r="I681" s="6">
        <f>I680+energia[[#This Row],[Łączna produkcja]]-energia[[#This Row],[Zapotrzebowanie]]</f>
        <v>59271.59900000006</v>
      </c>
      <c r="J681" t="b">
        <f>IF(energia[[#This Row],[Magazyn]]&lt;0,TRUE,FALSE)</f>
        <v>0</v>
      </c>
    </row>
    <row r="682" spans="1:10" x14ac:dyDescent="0.3">
      <c r="A682" s="1">
        <v>45411</v>
      </c>
      <c r="B682">
        <v>9</v>
      </c>
      <c r="C682">
        <v>1347.375</v>
      </c>
      <c r="D682">
        <v>5446.0379999999996</v>
      </c>
      <c r="E682" t="b">
        <f>IF(energia[[#This Row],[Zrodla_wiatrowe]]&gt;C681,TRUE,FALSE)</f>
        <v>0</v>
      </c>
      <c r="F682">
        <f>IF(energia[[#This Row],[Czy wiatr rosło]],F681+1,1)</f>
        <v>1</v>
      </c>
      <c r="G682">
        <v>7755.5320000000002</v>
      </c>
      <c r="H682" s="6">
        <f>(energia[[#This Row],[Zrodla_wiatrowe]]+energia[[#This Row],[Zrodla_fotowoltaiczne]])</f>
        <v>6793.4129999999996</v>
      </c>
      <c r="I682" s="6">
        <f>I681+energia[[#This Row],[Łączna produkcja]]-energia[[#This Row],[Zapotrzebowanie]]</f>
        <v>58309.480000000061</v>
      </c>
      <c r="J682" t="b">
        <f>IF(energia[[#This Row],[Magazyn]]&lt;0,TRUE,FALSE)</f>
        <v>0</v>
      </c>
    </row>
    <row r="683" spans="1:10" x14ac:dyDescent="0.3">
      <c r="A683" s="1">
        <v>45411</v>
      </c>
      <c r="B683">
        <v>10</v>
      </c>
      <c r="C683">
        <v>1094.95</v>
      </c>
      <c r="D683">
        <v>7641.9750000000004</v>
      </c>
      <c r="E683" t="b">
        <f>IF(energia[[#This Row],[Zrodla_wiatrowe]]&gt;C682,TRUE,FALSE)</f>
        <v>0</v>
      </c>
      <c r="F683">
        <f>IF(energia[[#This Row],[Czy wiatr rosło]],F682+1,1)</f>
        <v>1</v>
      </c>
      <c r="G683">
        <v>8656.0990000000002</v>
      </c>
      <c r="H683" s="6">
        <f>(energia[[#This Row],[Zrodla_wiatrowe]]+energia[[#This Row],[Zrodla_fotowoltaiczne]])</f>
        <v>8736.9250000000011</v>
      </c>
      <c r="I683" s="6">
        <f>I682+energia[[#This Row],[Łączna produkcja]]-energia[[#This Row],[Zapotrzebowanie]]</f>
        <v>58390.306000000055</v>
      </c>
      <c r="J683" t="b">
        <f>IF(energia[[#This Row],[Magazyn]]&lt;0,TRUE,FALSE)</f>
        <v>0</v>
      </c>
    </row>
    <row r="684" spans="1:10" x14ac:dyDescent="0.3">
      <c r="A684" s="1">
        <v>45411</v>
      </c>
      <c r="B684">
        <v>11</v>
      </c>
      <c r="C684">
        <v>1180.338</v>
      </c>
      <c r="D684">
        <v>9545.7630000000008</v>
      </c>
      <c r="E684" t="b">
        <f>IF(energia[[#This Row],[Zrodla_wiatrowe]]&gt;C683,TRUE,FALSE)</f>
        <v>1</v>
      </c>
      <c r="F684">
        <f>IF(energia[[#This Row],[Czy wiatr rosło]],F683+1,1)</f>
        <v>2</v>
      </c>
      <c r="G684">
        <v>8631.7790000000005</v>
      </c>
      <c r="H684" s="6">
        <f>(energia[[#This Row],[Zrodla_wiatrowe]]+energia[[#This Row],[Zrodla_fotowoltaiczne]])</f>
        <v>10726.101000000001</v>
      </c>
      <c r="I684" s="6">
        <f>I683+energia[[#This Row],[Łączna produkcja]]-energia[[#This Row],[Zapotrzebowanie]]</f>
        <v>60484.628000000048</v>
      </c>
      <c r="J684" t="b">
        <f>IF(energia[[#This Row],[Magazyn]]&lt;0,TRUE,FALSE)</f>
        <v>0</v>
      </c>
    </row>
    <row r="685" spans="1:10" x14ac:dyDescent="0.3">
      <c r="A685" s="1">
        <v>45411</v>
      </c>
      <c r="B685">
        <v>12</v>
      </c>
      <c r="C685">
        <v>1330.15</v>
      </c>
      <c r="D685">
        <v>9180.5380000000005</v>
      </c>
      <c r="E685" t="b">
        <f>IF(energia[[#This Row],[Zrodla_wiatrowe]]&gt;C684,TRUE,FALSE)</f>
        <v>1</v>
      </c>
      <c r="F685">
        <f>IF(energia[[#This Row],[Czy wiatr rosło]],F684+1,1)</f>
        <v>3</v>
      </c>
      <c r="G685">
        <v>8775.2240000000002</v>
      </c>
      <c r="H685" s="6">
        <f>(energia[[#This Row],[Zrodla_wiatrowe]]+energia[[#This Row],[Zrodla_fotowoltaiczne]])</f>
        <v>10510.688</v>
      </c>
      <c r="I685" s="6">
        <f>I684+energia[[#This Row],[Łączna produkcja]]-energia[[#This Row],[Zapotrzebowanie]]</f>
        <v>62220.092000000048</v>
      </c>
      <c r="J685" t="b">
        <f>IF(energia[[#This Row],[Magazyn]]&lt;0,TRUE,FALSE)</f>
        <v>0</v>
      </c>
    </row>
    <row r="686" spans="1:10" x14ac:dyDescent="0.3">
      <c r="A686" s="1">
        <v>45411</v>
      </c>
      <c r="B686">
        <v>13</v>
      </c>
      <c r="C686">
        <v>1515.0250000000001</v>
      </c>
      <c r="D686">
        <v>8799.4500000000007</v>
      </c>
      <c r="E686" t="b">
        <f>IF(energia[[#This Row],[Zrodla_wiatrowe]]&gt;C685,TRUE,FALSE)</f>
        <v>1</v>
      </c>
      <c r="F686">
        <f>IF(energia[[#This Row],[Czy wiatr rosło]],F685+1,1)</f>
        <v>4</v>
      </c>
      <c r="G686">
        <v>9141.973</v>
      </c>
      <c r="H686" s="6">
        <f>(energia[[#This Row],[Zrodla_wiatrowe]]+energia[[#This Row],[Zrodla_fotowoltaiczne]])</f>
        <v>10314.475</v>
      </c>
      <c r="I686" s="6">
        <f>I685+energia[[#This Row],[Łączna produkcja]]-energia[[#This Row],[Zapotrzebowanie]]</f>
        <v>63392.594000000056</v>
      </c>
      <c r="J686" t="b">
        <f>IF(energia[[#This Row],[Magazyn]]&lt;0,TRUE,FALSE)</f>
        <v>0</v>
      </c>
    </row>
    <row r="687" spans="1:10" x14ac:dyDescent="0.3">
      <c r="A687" s="1">
        <v>45411</v>
      </c>
      <c r="B687">
        <v>14</v>
      </c>
      <c r="C687">
        <v>1608.875</v>
      </c>
      <c r="D687">
        <v>8568.4750000000004</v>
      </c>
      <c r="E687" t="b">
        <f>IF(energia[[#This Row],[Zrodla_wiatrowe]]&gt;C686,TRUE,FALSE)</f>
        <v>1</v>
      </c>
      <c r="F687">
        <f>IF(energia[[#This Row],[Czy wiatr rosło]],F686+1,1)</f>
        <v>5</v>
      </c>
      <c r="G687">
        <v>8636.7800000000007</v>
      </c>
      <c r="H687" s="6">
        <f>(energia[[#This Row],[Zrodla_wiatrowe]]+energia[[#This Row],[Zrodla_fotowoltaiczne]])</f>
        <v>10177.35</v>
      </c>
      <c r="I687" s="6">
        <f>I686+energia[[#This Row],[Łączna produkcja]]-energia[[#This Row],[Zapotrzebowanie]]</f>
        <v>64933.164000000063</v>
      </c>
      <c r="J687" t="b">
        <f>IF(energia[[#This Row],[Magazyn]]&lt;0,TRUE,FALSE)</f>
        <v>0</v>
      </c>
    </row>
    <row r="688" spans="1:10" x14ac:dyDescent="0.3">
      <c r="A688" s="1">
        <v>45411</v>
      </c>
      <c r="B688">
        <v>15</v>
      </c>
      <c r="C688">
        <v>1706.5</v>
      </c>
      <c r="D688">
        <v>7865.4380000000001</v>
      </c>
      <c r="E688" t="b">
        <f>IF(energia[[#This Row],[Zrodla_wiatrowe]]&gt;C687,TRUE,FALSE)</f>
        <v>1</v>
      </c>
      <c r="F688">
        <f>IF(energia[[#This Row],[Czy wiatr rosło]],F687+1,1)</f>
        <v>6</v>
      </c>
      <c r="G688">
        <v>8903.6669999999995</v>
      </c>
      <c r="H688" s="6">
        <f>(energia[[#This Row],[Zrodla_wiatrowe]]+energia[[#This Row],[Zrodla_fotowoltaiczne]])</f>
        <v>9571.9380000000001</v>
      </c>
      <c r="I688" s="6">
        <f>I687+energia[[#This Row],[Łączna produkcja]]-energia[[#This Row],[Zapotrzebowanie]]</f>
        <v>65601.435000000056</v>
      </c>
      <c r="J688" t="b">
        <f>IF(energia[[#This Row],[Magazyn]]&lt;0,TRUE,FALSE)</f>
        <v>0</v>
      </c>
    </row>
    <row r="689" spans="1:10" x14ac:dyDescent="0.3">
      <c r="A689" s="1">
        <v>45411</v>
      </c>
      <c r="B689">
        <v>16</v>
      </c>
      <c r="C689">
        <v>1699.413</v>
      </c>
      <c r="D689">
        <v>7673.0379999999996</v>
      </c>
      <c r="E689" t="b">
        <f>IF(energia[[#This Row],[Zrodla_wiatrowe]]&gt;C688,TRUE,FALSE)</f>
        <v>0</v>
      </c>
      <c r="F689">
        <f>IF(energia[[#This Row],[Czy wiatr rosło]],F688+1,1)</f>
        <v>1</v>
      </c>
      <c r="G689">
        <v>8967.0879999999997</v>
      </c>
      <c r="H689" s="6">
        <f>(energia[[#This Row],[Zrodla_wiatrowe]]+energia[[#This Row],[Zrodla_fotowoltaiczne]])</f>
        <v>9372.4509999999991</v>
      </c>
      <c r="I689" s="6">
        <f>I688+energia[[#This Row],[Łączna produkcja]]-energia[[#This Row],[Zapotrzebowanie]]</f>
        <v>66006.798000000053</v>
      </c>
      <c r="J689" t="b">
        <f>IF(energia[[#This Row],[Magazyn]]&lt;0,TRUE,FALSE)</f>
        <v>0</v>
      </c>
    </row>
    <row r="690" spans="1:10" x14ac:dyDescent="0.3">
      <c r="A690" s="1">
        <v>45411</v>
      </c>
      <c r="B690">
        <v>17</v>
      </c>
      <c r="C690">
        <v>1678.7629999999999</v>
      </c>
      <c r="D690">
        <v>6558.375</v>
      </c>
      <c r="E690" t="b">
        <f>IF(energia[[#This Row],[Zrodla_wiatrowe]]&gt;C689,TRUE,FALSE)</f>
        <v>0</v>
      </c>
      <c r="F690">
        <f>IF(energia[[#This Row],[Czy wiatr rosło]],F689+1,1)</f>
        <v>1</v>
      </c>
      <c r="G690">
        <v>8652.7890000000007</v>
      </c>
      <c r="H690" s="6">
        <f>(energia[[#This Row],[Zrodla_wiatrowe]]+energia[[#This Row],[Zrodla_fotowoltaiczne]])</f>
        <v>8237.137999999999</v>
      </c>
      <c r="I690" s="6">
        <f>I689+energia[[#This Row],[Łączna produkcja]]-energia[[#This Row],[Zapotrzebowanie]]</f>
        <v>65591.147000000041</v>
      </c>
      <c r="J690" t="b">
        <f>IF(energia[[#This Row],[Magazyn]]&lt;0,TRUE,FALSE)</f>
        <v>0</v>
      </c>
    </row>
    <row r="691" spans="1:10" x14ac:dyDescent="0.3">
      <c r="A691" s="1">
        <v>45411</v>
      </c>
      <c r="B691">
        <v>18</v>
      </c>
      <c r="C691">
        <v>1672.45</v>
      </c>
      <c r="D691">
        <v>4528.4629999999997</v>
      </c>
      <c r="E691" t="b">
        <f>IF(energia[[#This Row],[Zrodla_wiatrowe]]&gt;C690,TRUE,FALSE)</f>
        <v>0</v>
      </c>
      <c r="F691">
        <f>IF(energia[[#This Row],[Czy wiatr rosło]],F690+1,1)</f>
        <v>1</v>
      </c>
      <c r="G691">
        <v>7944.7539999999999</v>
      </c>
      <c r="H691" s="6">
        <f>(energia[[#This Row],[Zrodla_wiatrowe]]+energia[[#This Row],[Zrodla_fotowoltaiczne]])</f>
        <v>6200.9129999999996</v>
      </c>
      <c r="I691" s="6">
        <f>I690+energia[[#This Row],[Łączna produkcja]]-energia[[#This Row],[Zapotrzebowanie]]</f>
        <v>63847.306000000041</v>
      </c>
      <c r="J691" t="b">
        <f>IF(energia[[#This Row],[Magazyn]]&lt;0,TRUE,FALSE)</f>
        <v>0</v>
      </c>
    </row>
    <row r="692" spans="1:10" x14ac:dyDescent="0.3">
      <c r="A692" s="1">
        <v>45411</v>
      </c>
      <c r="B692">
        <v>19</v>
      </c>
      <c r="C692">
        <v>1669.963</v>
      </c>
      <c r="D692">
        <v>2260.35</v>
      </c>
      <c r="E692" t="b">
        <f>IF(energia[[#This Row],[Zrodla_wiatrowe]]&gt;C691,TRUE,FALSE)</f>
        <v>0</v>
      </c>
      <c r="F692">
        <f>IF(energia[[#This Row],[Czy wiatr rosło]],F691+1,1)</f>
        <v>1</v>
      </c>
      <c r="G692">
        <v>7099.7380000000003</v>
      </c>
      <c r="H692" s="6">
        <f>(energia[[#This Row],[Zrodla_wiatrowe]]+energia[[#This Row],[Zrodla_fotowoltaiczne]])</f>
        <v>3930.3130000000001</v>
      </c>
      <c r="I692" s="6">
        <f>I691+energia[[#This Row],[Łączna produkcja]]-energia[[#This Row],[Zapotrzebowanie]]</f>
        <v>60677.881000000038</v>
      </c>
      <c r="J692" t="b">
        <f>IF(energia[[#This Row],[Magazyn]]&lt;0,TRUE,FALSE)</f>
        <v>0</v>
      </c>
    </row>
    <row r="693" spans="1:10" x14ac:dyDescent="0.3">
      <c r="A693" s="1">
        <v>45411</v>
      </c>
      <c r="B693">
        <v>20</v>
      </c>
      <c r="C693">
        <v>1912.2</v>
      </c>
      <c r="D693">
        <v>688.36300000000006</v>
      </c>
      <c r="E693" t="b">
        <f>IF(energia[[#This Row],[Zrodla_wiatrowe]]&gt;C692,TRUE,FALSE)</f>
        <v>1</v>
      </c>
      <c r="F693">
        <f>IF(energia[[#This Row],[Czy wiatr rosło]],F692+1,1)</f>
        <v>2</v>
      </c>
      <c r="G693">
        <v>6907.5280000000002</v>
      </c>
      <c r="H693" s="6">
        <f>(energia[[#This Row],[Zrodla_wiatrowe]]+energia[[#This Row],[Zrodla_fotowoltaiczne]])</f>
        <v>2600.5630000000001</v>
      </c>
      <c r="I693" s="6">
        <f>I692+energia[[#This Row],[Łączna produkcja]]-energia[[#This Row],[Zapotrzebowanie]]</f>
        <v>56370.916000000041</v>
      </c>
      <c r="J693" t="b">
        <f>IF(energia[[#This Row],[Magazyn]]&lt;0,TRUE,FALSE)</f>
        <v>0</v>
      </c>
    </row>
    <row r="694" spans="1:10" x14ac:dyDescent="0.3">
      <c r="A694" s="1">
        <v>45411</v>
      </c>
      <c r="B694">
        <v>21</v>
      </c>
      <c r="C694">
        <v>2709.538</v>
      </c>
      <c r="D694">
        <v>64.45</v>
      </c>
      <c r="E694" t="b">
        <f>IF(energia[[#This Row],[Zrodla_wiatrowe]]&gt;C693,TRUE,FALSE)</f>
        <v>1</v>
      </c>
      <c r="F694">
        <f>IF(energia[[#This Row],[Czy wiatr rosło]],F693+1,1)</f>
        <v>3</v>
      </c>
      <c r="G694">
        <v>5367.2889999999998</v>
      </c>
      <c r="H694" s="6">
        <f>(energia[[#This Row],[Zrodla_wiatrowe]]+energia[[#This Row],[Zrodla_fotowoltaiczne]])</f>
        <v>2773.9879999999998</v>
      </c>
      <c r="I694" s="6">
        <f>I693+energia[[#This Row],[Łączna produkcja]]-energia[[#This Row],[Zapotrzebowanie]]</f>
        <v>53777.615000000042</v>
      </c>
      <c r="J694" t="b">
        <f>IF(energia[[#This Row],[Magazyn]]&lt;0,TRUE,FALSE)</f>
        <v>0</v>
      </c>
    </row>
    <row r="695" spans="1:10" x14ac:dyDescent="0.3">
      <c r="A695" s="1">
        <v>45411</v>
      </c>
      <c r="B695">
        <v>22</v>
      </c>
      <c r="C695">
        <v>3575.3130000000001</v>
      </c>
      <c r="D695">
        <v>0</v>
      </c>
      <c r="E695" t="b">
        <f>IF(energia[[#This Row],[Zrodla_wiatrowe]]&gt;C694,TRUE,FALSE)</f>
        <v>1</v>
      </c>
      <c r="F695">
        <f>IF(energia[[#This Row],[Czy wiatr rosło]],F694+1,1)</f>
        <v>4</v>
      </c>
      <c r="G695">
        <v>5180.6610000000001</v>
      </c>
      <c r="H695" s="6">
        <f>(energia[[#This Row],[Zrodla_wiatrowe]]+energia[[#This Row],[Zrodla_fotowoltaiczne]])</f>
        <v>3575.3130000000001</v>
      </c>
      <c r="I695" s="6">
        <f>I694+energia[[#This Row],[Łączna produkcja]]-energia[[#This Row],[Zapotrzebowanie]]</f>
        <v>52172.267000000043</v>
      </c>
      <c r="J695" t="b">
        <f>IF(energia[[#This Row],[Magazyn]]&lt;0,TRUE,FALSE)</f>
        <v>0</v>
      </c>
    </row>
    <row r="696" spans="1:10" x14ac:dyDescent="0.3">
      <c r="A696" s="1">
        <v>45411</v>
      </c>
      <c r="B696">
        <v>23</v>
      </c>
      <c r="C696">
        <v>4097.6750000000002</v>
      </c>
      <c r="D696">
        <v>0</v>
      </c>
      <c r="E696" t="b">
        <f>IF(energia[[#This Row],[Zrodla_wiatrowe]]&gt;C695,TRUE,FALSE)</f>
        <v>1</v>
      </c>
      <c r="F696">
        <f>IF(energia[[#This Row],[Czy wiatr rosło]],F695+1,1)</f>
        <v>5</v>
      </c>
      <c r="G696">
        <v>3209.4879999999998</v>
      </c>
      <c r="H696" s="6">
        <f>(energia[[#This Row],[Zrodla_wiatrowe]]+energia[[#This Row],[Zrodla_fotowoltaiczne]])</f>
        <v>4097.6750000000002</v>
      </c>
      <c r="I696" s="6">
        <f>I695+energia[[#This Row],[Łączna produkcja]]-energia[[#This Row],[Zapotrzebowanie]]</f>
        <v>53060.454000000049</v>
      </c>
      <c r="J696" t="b">
        <f>IF(energia[[#This Row],[Magazyn]]&lt;0,TRUE,FALSE)</f>
        <v>0</v>
      </c>
    </row>
    <row r="697" spans="1:10" x14ac:dyDescent="0.3">
      <c r="A697" s="1">
        <v>45411</v>
      </c>
      <c r="B697">
        <v>24</v>
      </c>
      <c r="C697">
        <v>4326.8379999999997</v>
      </c>
      <c r="D697">
        <v>0</v>
      </c>
      <c r="E697" t="b">
        <f>IF(energia[[#This Row],[Zrodla_wiatrowe]]&gt;C696,TRUE,FALSE)</f>
        <v>1</v>
      </c>
      <c r="F697">
        <f>IF(energia[[#This Row],[Czy wiatr rosło]],F696+1,1)</f>
        <v>6</v>
      </c>
      <c r="G697">
        <v>1884.386</v>
      </c>
      <c r="H697" s="6">
        <f>(energia[[#This Row],[Zrodla_wiatrowe]]+energia[[#This Row],[Zrodla_fotowoltaiczne]])</f>
        <v>4326.8379999999997</v>
      </c>
      <c r="I697" s="6">
        <f>I696+energia[[#This Row],[Łączna produkcja]]-energia[[#This Row],[Zapotrzebowanie]]</f>
        <v>55502.906000000046</v>
      </c>
      <c r="J697" t="b">
        <f>IF(energia[[#This Row],[Magazyn]]&lt;0,TRUE,FALSE)</f>
        <v>0</v>
      </c>
    </row>
    <row r="698" spans="1:10" x14ac:dyDescent="0.3">
      <c r="A698" s="1">
        <v>45412</v>
      </c>
      <c r="B698">
        <v>1</v>
      </c>
      <c r="C698">
        <v>4272.6629999999996</v>
      </c>
      <c r="D698">
        <v>0</v>
      </c>
      <c r="E698" t="b">
        <f>IF(energia[[#This Row],[Zrodla_wiatrowe]]&gt;C697,TRUE,FALSE)</f>
        <v>0</v>
      </c>
      <c r="F698">
        <f>IF(energia[[#This Row],[Czy wiatr rosło]],F697+1,1)</f>
        <v>1</v>
      </c>
      <c r="G698">
        <v>1721.0340000000001</v>
      </c>
      <c r="H698" s="6">
        <f>(energia[[#This Row],[Zrodla_wiatrowe]]+energia[[#This Row],[Zrodla_fotowoltaiczne]])</f>
        <v>4272.6629999999996</v>
      </c>
      <c r="I698" s="6">
        <f>I697+energia[[#This Row],[Łączna produkcja]]-energia[[#This Row],[Zapotrzebowanie]]</f>
        <v>58054.535000000047</v>
      </c>
      <c r="J698" t="b">
        <f>IF(energia[[#This Row],[Magazyn]]&lt;0,TRUE,FALSE)</f>
        <v>0</v>
      </c>
    </row>
    <row r="699" spans="1:10" x14ac:dyDescent="0.3">
      <c r="A699" s="1">
        <v>45412</v>
      </c>
      <c r="B699">
        <v>2</v>
      </c>
      <c r="C699">
        <v>4037</v>
      </c>
      <c r="D699">
        <v>0</v>
      </c>
      <c r="E699" t="b">
        <f>IF(energia[[#This Row],[Zrodla_wiatrowe]]&gt;C698,TRUE,FALSE)</f>
        <v>0</v>
      </c>
      <c r="F699">
        <f>IF(energia[[#This Row],[Czy wiatr rosło]],F698+1,1)</f>
        <v>1</v>
      </c>
      <c r="G699">
        <v>1475.539</v>
      </c>
      <c r="H699" s="6">
        <f>(energia[[#This Row],[Zrodla_wiatrowe]]+energia[[#This Row],[Zrodla_fotowoltaiczne]])</f>
        <v>4037</v>
      </c>
      <c r="I699" s="6">
        <f>I698+energia[[#This Row],[Łączna produkcja]]-energia[[#This Row],[Zapotrzebowanie]]</f>
        <v>60615.99600000005</v>
      </c>
      <c r="J699" t="b">
        <f>IF(energia[[#This Row],[Magazyn]]&lt;0,TRUE,FALSE)</f>
        <v>0</v>
      </c>
    </row>
    <row r="700" spans="1:10" x14ac:dyDescent="0.3">
      <c r="A700" s="1">
        <v>45412</v>
      </c>
      <c r="B700">
        <v>3</v>
      </c>
      <c r="C700">
        <v>3760.9380000000001</v>
      </c>
      <c r="D700">
        <v>0</v>
      </c>
      <c r="E700" t="b">
        <f>IF(energia[[#This Row],[Zrodla_wiatrowe]]&gt;C699,TRUE,FALSE)</f>
        <v>0</v>
      </c>
      <c r="F700">
        <f>IF(energia[[#This Row],[Czy wiatr rosło]],F699+1,1)</f>
        <v>1</v>
      </c>
      <c r="G700">
        <v>1380.0509999999999</v>
      </c>
      <c r="H700" s="6">
        <f>(energia[[#This Row],[Zrodla_wiatrowe]]+energia[[#This Row],[Zrodla_fotowoltaiczne]])</f>
        <v>3760.9380000000001</v>
      </c>
      <c r="I700" s="6">
        <f>I699+energia[[#This Row],[Łączna produkcja]]-energia[[#This Row],[Zapotrzebowanie]]</f>
        <v>62996.883000000053</v>
      </c>
      <c r="J700" t="b">
        <f>IF(energia[[#This Row],[Magazyn]]&lt;0,TRUE,FALSE)</f>
        <v>0</v>
      </c>
    </row>
    <row r="701" spans="1:10" x14ac:dyDescent="0.3">
      <c r="A701" s="1">
        <v>45412</v>
      </c>
      <c r="B701">
        <v>4</v>
      </c>
      <c r="C701">
        <v>3717.3130000000001</v>
      </c>
      <c r="D701">
        <v>0</v>
      </c>
      <c r="E701" t="b">
        <f>IF(energia[[#This Row],[Zrodla_wiatrowe]]&gt;C700,TRUE,FALSE)</f>
        <v>0</v>
      </c>
      <c r="F701">
        <f>IF(energia[[#This Row],[Czy wiatr rosło]],F700+1,1)</f>
        <v>1</v>
      </c>
      <c r="G701">
        <v>1382.8789999999999</v>
      </c>
      <c r="H701" s="6">
        <f>(energia[[#This Row],[Zrodla_wiatrowe]]+energia[[#This Row],[Zrodla_fotowoltaiczne]])</f>
        <v>3717.3130000000001</v>
      </c>
      <c r="I701" s="6">
        <f>I700+energia[[#This Row],[Łączna produkcja]]-energia[[#This Row],[Zapotrzebowanie]]</f>
        <v>65331.317000000054</v>
      </c>
      <c r="J701" t="b">
        <f>IF(energia[[#This Row],[Magazyn]]&lt;0,TRUE,FALSE)</f>
        <v>0</v>
      </c>
    </row>
    <row r="702" spans="1:10" x14ac:dyDescent="0.3">
      <c r="A702" s="1">
        <v>45412</v>
      </c>
      <c r="B702">
        <v>5</v>
      </c>
      <c r="C702">
        <v>3945.7379999999998</v>
      </c>
      <c r="D702">
        <v>0.48799999999999999</v>
      </c>
      <c r="E702" t="b">
        <f>IF(energia[[#This Row],[Zrodla_wiatrowe]]&gt;C701,TRUE,FALSE)</f>
        <v>1</v>
      </c>
      <c r="F702">
        <f>IF(energia[[#This Row],[Czy wiatr rosło]],F701+1,1)</f>
        <v>2</v>
      </c>
      <c r="G702">
        <v>2073.1280000000002</v>
      </c>
      <c r="H702" s="6">
        <f>(energia[[#This Row],[Zrodla_wiatrowe]]+energia[[#This Row],[Zrodla_fotowoltaiczne]])</f>
        <v>3946.2259999999997</v>
      </c>
      <c r="I702" s="6">
        <f>I701+energia[[#This Row],[Łączna produkcja]]-energia[[#This Row],[Zapotrzebowanie]]</f>
        <v>67204.415000000052</v>
      </c>
      <c r="J702" t="b">
        <f>IF(energia[[#This Row],[Magazyn]]&lt;0,TRUE,FALSE)</f>
        <v>0</v>
      </c>
    </row>
    <row r="703" spans="1:10" x14ac:dyDescent="0.3">
      <c r="A703" s="1">
        <v>45412</v>
      </c>
      <c r="B703">
        <v>6</v>
      </c>
      <c r="C703">
        <v>4228.6000000000004</v>
      </c>
      <c r="D703">
        <v>126.438</v>
      </c>
      <c r="E703" t="b">
        <f>IF(energia[[#This Row],[Zrodla_wiatrowe]]&gt;C702,TRUE,FALSE)</f>
        <v>1</v>
      </c>
      <c r="F703">
        <f>IF(energia[[#This Row],[Czy wiatr rosło]],F702+1,1)</f>
        <v>3</v>
      </c>
      <c r="G703">
        <v>3433.17</v>
      </c>
      <c r="H703" s="6">
        <f>(energia[[#This Row],[Zrodla_wiatrowe]]+energia[[#This Row],[Zrodla_fotowoltaiczne]])</f>
        <v>4355.0380000000005</v>
      </c>
      <c r="I703" s="6">
        <f>I702+energia[[#This Row],[Łączna produkcja]]-energia[[#This Row],[Zapotrzebowanie]]</f>
        <v>68126.283000000054</v>
      </c>
      <c r="J703" t="b">
        <f>IF(energia[[#This Row],[Magazyn]]&lt;0,TRUE,FALSE)</f>
        <v>0</v>
      </c>
    </row>
    <row r="704" spans="1:10" x14ac:dyDescent="0.3">
      <c r="A704" s="1">
        <v>45412</v>
      </c>
      <c r="B704">
        <v>7</v>
      </c>
      <c r="C704">
        <v>4063.1129999999998</v>
      </c>
      <c r="D704">
        <v>1112.8499999999999</v>
      </c>
      <c r="E704" t="b">
        <f>IF(energia[[#This Row],[Zrodla_wiatrowe]]&gt;C703,TRUE,FALSE)</f>
        <v>0</v>
      </c>
      <c r="F704">
        <f>IF(energia[[#This Row],[Czy wiatr rosło]],F703+1,1)</f>
        <v>1</v>
      </c>
      <c r="G704">
        <v>4676.7849999999999</v>
      </c>
      <c r="H704" s="6">
        <f>(energia[[#This Row],[Zrodla_wiatrowe]]+energia[[#This Row],[Zrodla_fotowoltaiczne]])</f>
        <v>5175.9629999999997</v>
      </c>
      <c r="I704" s="6">
        <f>I703+energia[[#This Row],[Łączna produkcja]]-energia[[#This Row],[Zapotrzebowanie]]</f>
        <v>68625.461000000054</v>
      </c>
      <c r="J704" t="b">
        <f>IF(energia[[#This Row],[Magazyn]]&lt;0,TRUE,FALSE)</f>
        <v>0</v>
      </c>
    </row>
    <row r="705" spans="1:10" x14ac:dyDescent="0.3">
      <c r="A705" s="1">
        <v>45412</v>
      </c>
      <c r="B705">
        <v>8</v>
      </c>
      <c r="C705">
        <v>3116.538</v>
      </c>
      <c r="D705">
        <v>3288.9</v>
      </c>
      <c r="E705" t="b">
        <f>IF(energia[[#This Row],[Zrodla_wiatrowe]]&gt;C704,TRUE,FALSE)</f>
        <v>0</v>
      </c>
      <c r="F705">
        <f>IF(energia[[#This Row],[Czy wiatr rosło]],F704+1,1)</f>
        <v>1</v>
      </c>
      <c r="G705">
        <v>7287.8509999999997</v>
      </c>
      <c r="H705" s="6">
        <f>(energia[[#This Row],[Zrodla_wiatrowe]]+energia[[#This Row],[Zrodla_fotowoltaiczne]])</f>
        <v>6405.4380000000001</v>
      </c>
      <c r="I705" s="6">
        <f>I704+energia[[#This Row],[Łączna produkcja]]-energia[[#This Row],[Zapotrzebowanie]]</f>
        <v>67743.048000000053</v>
      </c>
      <c r="J705" t="b">
        <f>IF(energia[[#This Row],[Magazyn]]&lt;0,TRUE,FALSE)</f>
        <v>0</v>
      </c>
    </row>
    <row r="706" spans="1:10" x14ac:dyDescent="0.3">
      <c r="A706" s="1">
        <v>45412</v>
      </c>
      <c r="B706">
        <v>9</v>
      </c>
      <c r="C706">
        <v>1871.9</v>
      </c>
      <c r="D706">
        <v>6150.0630000000001</v>
      </c>
      <c r="E706" t="b">
        <f>IF(energia[[#This Row],[Zrodla_wiatrowe]]&gt;C705,TRUE,FALSE)</f>
        <v>0</v>
      </c>
      <c r="F706">
        <f>IF(energia[[#This Row],[Czy wiatr rosło]],F705+1,1)</f>
        <v>1</v>
      </c>
      <c r="G706">
        <v>7747.777</v>
      </c>
      <c r="H706" s="6">
        <f>(energia[[#This Row],[Zrodla_wiatrowe]]+energia[[#This Row],[Zrodla_fotowoltaiczne]])</f>
        <v>8021.9629999999997</v>
      </c>
      <c r="I706" s="6">
        <f>I705+energia[[#This Row],[Łączna produkcja]]-energia[[#This Row],[Zapotrzebowanie]]</f>
        <v>68017.234000000055</v>
      </c>
      <c r="J706" t="b">
        <f>IF(energia[[#This Row],[Magazyn]]&lt;0,TRUE,FALSE)</f>
        <v>0</v>
      </c>
    </row>
    <row r="707" spans="1:10" x14ac:dyDescent="0.3">
      <c r="A707" s="1">
        <v>45412</v>
      </c>
      <c r="B707">
        <v>10</v>
      </c>
      <c r="C707">
        <v>1349.9380000000001</v>
      </c>
      <c r="D707">
        <v>8576.3130000000001</v>
      </c>
      <c r="E707" t="b">
        <f>IF(energia[[#This Row],[Zrodla_wiatrowe]]&gt;C706,TRUE,FALSE)</f>
        <v>0</v>
      </c>
      <c r="F707">
        <f>IF(energia[[#This Row],[Czy wiatr rosło]],F706+1,1)</f>
        <v>1</v>
      </c>
      <c r="G707">
        <v>8647.4429999999993</v>
      </c>
      <c r="H707" s="6">
        <f>(energia[[#This Row],[Zrodla_wiatrowe]]+energia[[#This Row],[Zrodla_fotowoltaiczne]])</f>
        <v>9926.2510000000002</v>
      </c>
      <c r="I707" s="6">
        <f>I706+energia[[#This Row],[Łączna produkcja]]-energia[[#This Row],[Zapotrzebowanie]]</f>
        <v>69296.042000000059</v>
      </c>
      <c r="J707" t="b">
        <f>IF(energia[[#This Row],[Magazyn]]&lt;0,TRUE,FALSE)</f>
        <v>0</v>
      </c>
    </row>
    <row r="708" spans="1:10" x14ac:dyDescent="0.3">
      <c r="A708" s="1">
        <v>45412</v>
      </c>
      <c r="B708">
        <v>11</v>
      </c>
      <c r="C708">
        <v>1425.5</v>
      </c>
      <c r="D708">
        <v>9089.5130000000008</v>
      </c>
      <c r="E708" t="b">
        <f>IF(energia[[#This Row],[Zrodla_wiatrowe]]&gt;C707,TRUE,FALSE)</f>
        <v>1</v>
      </c>
      <c r="F708">
        <f>IF(energia[[#This Row],[Czy wiatr rosło]],F707+1,1)</f>
        <v>2</v>
      </c>
      <c r="G708">
        <v>8623.1470000000008</v>
      </c>
      <c r="H708" s="6">
        <f>(energia[[#This Row],[Zrodla_wiatrowe]]+energia[[#This Row],[Zrodla_fotowoltaiczne]])</f>
        <v>10515.013000000001</v>
      </c>
      <c r="I708" s="6">
        <f>I707+energia[[#This Row],[Łączna produkcja]]-energia[[#This Row],[Zapotrzebowanie]]</f>
        <v>71187.908000000069</v>
      </c>
      <c r="J708" t="b">
        <f>IF(energia[[#This Row],[Magazyn]]&lt;0,TRUE,FALSE)</f>
        <v>0</v>
      </c>
    </row>
    <row r="709" spans="1:10" x14ac:dyDescent="0.3">
      <c r="A709" s="1">
        <v>45412</v>
      </c>
      <c r="B709">
        <v>12</v>
      </c>
      <c r="C709">
        <v>1697.8630000000001</v>
      </c>
      <c r="D709">
        <v>8942.65</v>
      </c>
      <c r="E709" t="b">
        <f>IF(energia[[#This Row],[Zrodla_wiatrowe]]&gt;C708,TRUE,FALSE)</f>
        <v>1</v>
      </c>
      <c r="F709">
        <f>IF(energia[[#This Row],[Czy wiatr rosło]],F708+1,1)</f>
        <v>3</v>
      </c>
      <c r="G709">
        <v>8766.4490000000005</v>
      </c>
      <c r="H709" s="6">
        <f>(energia[[#This Row],[Zrodla_wiatrowe]]+energia[[#This Row],[Zrodla_fotowoltaiczne]])</f>
        <v>10640.512999999999</v>
      </c>
      <c r="I709" s="6">
        <f>I708+energia[[#This Row],[Łączna produkcja]]-energia[[#This Row],[Zapotrzebowanie]]</f>
        <v>73061.972000000067</v>
      </c>
      <c r="J709" t="b">
        <f>IF(energia[[#This Row],[Magazyn]]&lt;0,TRUE,FALSE)</f>
        <v>0</v>
      </c>
    </row>
    <row r="710" spans="1:10" x14ac:dyDescent="0.3">
      <c r="A710" s="1">
        <v>45412</v>
      </c>
      <c r="B710">
        <v>13</v>
      </c>
      <c r="C710">
        <v>1998.0630000000001</v>
      </c>
      <c r="D710">
        <v>9074.2630000000008</v>
      </c>
      <c r="E710" t="b">
        <f>IF(energia[[#This Row],[Zrodla_wiatrowe]]&gt;C709,TRUE,FALSE)</f>
        <v>1</v>
      </c>
      <c r="F710">
        <f>IF(energia[[#This Row],[Czy wiatr rosło]],F709+1,1)</f>
        <v>4</v>
      </c>
      <c r="G710">
        <v>9132.8310000000001</v>
      </c>
      <c r="H710" s="6">
        <f>(energia[[#This Row],[Zrodla_wiatrowe]]+energia[[#This Row],[Zrodla_fotowoltaiczne]])</f>
        <v>11072.326000000001</v>
      </c>
      <c r="I710" s="6">
        <f>I709+energia[[#This Row],[Łączna produkcja]]-energia[[#This Row],[Zapotrzebowanie]]</f>
        <v>75001.467000000062</v>
      </c>
      <c r="J710" t="b">
        <f>IF(energia[[#This Row],[Magazyn]]&lt;0,TRUE,FALSE)</f>
        <v>0</v>
      </c>
    </row>
    <row r="711" spans="1:10" x14ac:dyDescent="0.3">
      <c r="A711" s="1">
        <v>45412</v>
      </c>
      <c r="B711">
        <v>14</v>
      </c>
      <c r="C711">
        <v>2532.5500000000002</v>
      </c>
      <c r="D711">
        <v>9028.4380000000001</v>
      </c>
      <c r="E711" t="b">
        <f>IF(energia[[#This Row],[Zrodla_wiatrowe]]&gt;C710,TRUE,FALSE)</f>
        <v>1</v>
      </c>
      <c r="F711">
        <f>IF(energia[[#This Row],[Czy wiatr rosło]],F710+1,1)</f>
        <v>5</v>
      </c>
      <c r="G711">
        <v>8628.143</v>
      </c>
      <c r="H711" s="6">
        <f>(energia[[#This Row],[Zrodla_wiatrowe]]+energia[[#This Row],[Zrodla_fotowoltaiczne]])</f>
        <v>11560.988000000001</v>
      </c>
      <c r="I711" s="6">
        <f>I710+energia[[#This Row],[Łączna produkcja]]-energia[[#This Row],[Zapotrzebowanie]]</f>
        <v>77934.312000000064</v>
      </c>
      <c r="J711" t="b">
        <f>IF(energia[[#This Row],[Magazyn]]&lt;0,TRUE,FALSE)</f>
        <v>0</v>
      </c>
    </row>
    <row r="712" spans="1:10" x14ac:dyDescent="0.3">
      <c r="A712" s="1">
        <v>45412</v>
      </c>
      <c r="B712">
        <v>15</v>
      </c>
      <c r="C712">
        <v>2994.6750000000002</v>
      </c>
      <c r="D712">
        <v>8596.2630000000008</v>
      </c>
      <c r="E712" t="b">
        <f>IF(energia[[#This Row],[Zrodla_wiatrowe]]&gt;C711,TRUE,FALSE)</f>
        <v>1</v>
      </c>
      <c r="F712">
        <f>IF(energia[[#This Row],[Czy wiatr rosło]],F711+1,1)</f>
        <v>6</v>
      </c>
      <c r="G712">
        <v>8894.7630000000008</v>
      </c>
      <c r="H712" s="6">
        <f>(energia[[#This Row],[Zrodla_wiatrowe]]+energia[[#This Row],[Zrodla_fotowoltaiczne]])</f>
        <v>11590.938000000002</v>
      </c>
      <c r="I712" s="6">
        <f>I711+energia[[#This Row],[Łączna produkcja]]-energia[[#This Row],[Zapotrzebowanie]]</f>
        <v>80630.487000000052</v>
      </c>
      <c r="J712" t="b">
        <f>IF(energia[[#This Row],[Magazyn]]&lt;0,TRUE,FALSE)</f>
        <v>0</v>
      </c>
    </row>
    <row r="713" spans="1:10" x14ac:dyDescent="0.3">
      <c r="A713" s="1">
        <v>45412</v>
      </c>
      <c r="B713">
        <v>16</v>
      </c>
      <c r="C713">
        <v>3244.65</v>
      </c>
      <c r="D713">
        <v>7601.8379999999997</v>
      </c>
      <c r="E713" t="b">
        <f>IF(energia[[#This Row],[Zrodla_wiatrowe]]&gt;C712,TRUE,FALSE)</f>
        <v>1</v>
      </c>
      <c r="F713">
        <f>IF(energia[[#This Row],[Czy wiatr rosło]],F712+1,1)</f>
        <v>7</v>
      </c>
      <c r="G713">
        <v>8958.1209999999992</v>
      </c>
      <c r="H713" s="6">
        <f>(energia[[#This Row],[Zrodla_wiatrowe]]+energia[[#This Row],[Zrodla_fotowoltaiczne]])</f>
        <v>10846.487999999999</v>
      </c>
      <c r="I713" s="6">
        <f>I712+energia[[#This Row],[Łączna produkcja]]-energia[[#This Row],[Zapotrzebowanie]]</f>
        <v>82518.85400000005</v>
      </c>
      <c r="J713" t="b">
        <f>IF(energia[[#This Row],[Magazyn]]&lt;0,TRUE,FALSE)</f>
        <v>0</v>
      </c>
    </row>
    <row r="714" spans="1:10" x14ac:dyDescent="0.3">
      <c r="A714" s="1">
        <v>45412</v>
      </c>
      <c r="B714">
        <v>17</v>
      </c>
      <c r="C714">
        <v>3232.6129999999998</v>
      </c>
      <c r="D714">
        <v>7113.8630000000003</v>
      </c>
      <c r="E714" t="b">
        <f>IF(energia[[#This Row],[Zrodla_wiatrowe]]&gt;C713,TRUE,FALSE)</f>
        <v>0</v>
      </c>
      <c r="F714">
        <f>IF(energia[[#This Row],[Czy wiatr rosło]],F713+1,1)</f>
        <v>1</v>
      </c>
      <c r="G714">
        <v>8644.1370000000006</v>
      </c>
      <c r="H714" s="6">
        <f>(energia[[#This Row],[Zrodla_wiatrowe]]+energia[[#This Row],[Zrodla_fotowoltaiczne]])</f>
        <v>10346.476000000001</v>
      </c>
      <c r="I714" s="6">
        <f>I713+energia[[#This Row],[Łączna produkcja]]-energia[[#This Row],[Zapotrzebowanie]]</f>
        <v>84221.193000000043</v>
      </c>
      <c r="J714" t="b">
        <f>IF(energia[[#This Row],[Magazyn]]&lt;0,TRUE,FALSE)</f>
        <v>0</v>
      </c>
    </row>
    <row r="715" spans="1:10" x14ac:dyDescent="0.3">
      <c r="A715" s="1">
        <v>45412</v>
      </c>
      <c r="B715">
        <v>18</v>
      </c>
      <c r="C715">
        <v>3254.4749999999999</v>
      </c>
      <c r="D715">
        <v>5229.6379999999999</v>
      </c>
      <c r="E715" t="b">
        <f>IF(energia[[#This Row],[Zrodla_wiatrowe]]&gt;C714,TRUE,FALSE)</f>
        <v>1</v>
      </c>
      <c r="F715">
        <f>IF(energia[[#This Row],[Czy wiatr rosło]],F714+1,1)</f>
        <v>2</v>
      </c>
      <c r="G715">
        <v>7936.8090000000002</v>
      </c>
      <c r="H715" s="6">
        <f>(energia[[#This Row],[Zrodla_wiatrowe]]+energia[[#This Row],[Zrodla_fotowoltaiczne]])</f>
        <v>8484.1129999999994</v>
      </c>
      <c r="I715" s="6">
        <f>I714+energia[[#This Row],[Łączna produkcja]]-energia[[#This Row],[Zapotrzebowanie]]</f>
        <v>84768.497000000047</v>
      </c>
      <c r="J715" t="b">
        <f>IF(energia[[#This Row],[Magazyn]]&lt;0,TRUE,FALSE)</f>
        <v>0</v>
      </c>
    </row>
    <row r="716" spans="1:10" x14ac:dyDescent="0.3">
      <c r="A716" s="1">
        <v>45412</v>
      </c>
      <c r="B716">
        <v>19</v>
      </c>
      <c r="C716">
        <v>3098.8</v>
      </c>
      <c r="D716">
        <v>2741.8</v>
      </c>
      <c r="E716" t="b">
        <f>IF(energia[[#This Row],[Zrodla_wiatrowe]]&gt;C715,TRUE,FALSE)</f>
        <v>0</v>
      </c>
      <c r="F716">
        <f>IF(energia[[#This Row],[Czy wiatr rosło]],F715+1,1)</f>
        <v>1</v>
      </c>
      <c r="G716">
        <v>7092.6379999999999</v>
      </c>
      <c r="H716" s="6">
        <f>(energia[[#This Row],[Zrodla_wiatrowe]]+energia[[#This Row],[Zrodla_fotowoltaiczne]])</f>
        <v>5840.6</v>
      </c>
      <c r="I716" s="6">
        <f>I715+energia[[#This Row],[Łączna produkcja]]-energia[[#This Row],[Zapotrzebowanie]]</f>
        <v>83516.459000000046</v>
      </c>
      <c r="J716" t="b">
        <f>IF(energia[[#This Row],[Magazyn]]&lt;0,TRUE,FALSE)</f>
        <v>0</v>
      </c>
    </row>
    <row r="717" spans="1:10" x14ac:dyDescent="0.3">
      <c r="A717" s="1">
        <v>45412</v>
      </c>
      <c r="B717">
        <v>20</v>
      </c>
      <c r="C717">
        <v>3200.6129999999998</v>
      </c>
      <c r="D717">
        <v>806.36300000000006</v>
      </c>
      <c r="E717" t="b">
        <f>IF(energia[[#This Row],[Zrodla_wiatrowe]]&gt;C716,TRUE,FALSE)</f>
        <v>1</v>
      </c>
      <c r="F717">
        <f>IF(energia[[#This Row],[Czy wiatr rosło]],F716+1,1)</f>
        <v>2</v>
      </c>
      <c r="G717">
        <v>6900.62</v>
      </c>
      <c r="H717" s="6">
        <f>(energia[[#This Row],[Zrodla_wiatrowe]]+energia[[#This Row],[Zrodla_fotowoltaiczne]])</f>
        <v>4006.9759999999997</v>
      </c>
      <c r="I717" s="6">
        <f>I716+energia[[#This Row],[Łączna produkcja]]-energia[[#This Row],[Zapotrzebowanie]]</f>
        <v>80622.815000000046</v>
      </c>
      <c r="J717" t="b">
        <f>IF(energia[[#This Row],[Magazyn]]&lt;0,TRUE,FALSE)</f>
        <v>0</v>
      </c>
    </row>
    <row r="718" spans="1:10" x14ac:dyDescent="0.3">
      <c r="A718" s="1">
        <v>45412</v>
      </c>
      <c r="B718">
        <v>21</v>
      </c>
      <c r="C718">
        <v>4075.2629999999999</v>
      </c>
      <c r="D718">
        <v>65.525000000000006</v>
      </c>
      <c r="E718" t="b">
        <f>IF(energia[[#This Row],[Zrodla_wiatrowe]]&gt;C717,TRUE,FALSE)</f>
        <v>1</v>
      </c>
      <c r="F718">
        <f>IF(energia[[#This Row],[Czy wiatr rosło]],F717+1,1)</f>
        <v>3</v>
      </c>
      <c r="G718">
        <v>5361.9219999999996</v>
      </c>
      <c r="H718" s="6">
        <f>(energia[[#This Row],[Zrodla_wiatrowe]]+energia[[#This Row],[Zrodla_fotowoltaiczne]])</f>
        <v>4140.7879999999996</v>
      </c>
      <c r="I718" s="6">
        <f>I717+energia[[#This Row],[Łączna produkcja]]-energia[[#This Row],[Zapotrzebowanie]]</f>
        <v>79401.681000000041</v>
      </c>
      <c r="J718" t="b">
        <f>IF(energia[[#This Row],[Magazyn]]&lt;0,TRUE,FALSE)</f>
        <v>0</v>
      </c>
    </row>
    <row r="719" spans="1:10" x14ac:dyDescent="0.3">
      <c r="A719" s="1">
        <v>45412</v>
      </c>
      <c r="B719">
        <v>22</v>
      </c>
      <c r="C719">
        <v>5190.4250000000002</v>
      </c>
      <c r="D719">
        <v>0</v>
      </c>
      <c r="E719" t="b">
        <f>IF(energia[[#This Row],[Zrodla_wiatrowe]]&gt;C718,TRUE,FALSE)</f>
        <v>1</v>
      </c>
      <c r="F719">
        <f>IF(energia[[#This Row],[Czy wiatr rosło]],F718+1,1)</f>
        <v>4</v>
      </c>
      <c r="G719">
        <v>5175.4799999999996</v>
      </c>
      <c r="H719" s="6">
        <f>(energia[[#This Row],[Zrodla_wiatrowe]]+energia[[#This Row],[Zrodla_fotowoltaiczne]])</f>
        <v>5190.4250000000002</v>
      </c>
      <c r="I719" s="6">
        <f>I718+energia[[#This Row],[Łączna produkcja]]-energia[[#This Row],[Zapotrzebowanie]]</f>
        <v>79416.626000000047</v>
      </c>
      <c r="J719" t="b">
        <f>IF(energia[[#This Row],[Magazyn]]&lt;0,TRUE,FALSE)</f>
        <v>0</v>
      </c>
    </row>
    <row r="720" spans="1:10" x14ac:dyDescent="0.3">
      <c r="A720" s="1">
        <v>45412</v>
      </c>
      <c r="B720">
        <v>23</v>
      </c>
      <c r="C720">
        <v>5414.4750000000004</v>
      </c>
      <c r="D720">
        <v>0</v>
      </c>
      <c r="E720" t="b">
        <f>IF(energia[[#This Row],[Zrodla_wiatrowe]]&gt;C719,TRUE,FALSE)</f>
        <v>1</v>
      </c>
      <c r="F720">
        <f>IF(energia[[#This Row],[Czy wiatr rosło]],F719+1,1)</f>
        <v>5</v>
      </c>
      <c r="G720">
        <v>3206.279</v>
      </c>
      <c r="H720" s="6">
        <f>(energia[[#This Row],[Zrodla_wiatrowe]]+energia[[#This Row],[Zrodla_fotowoltaiczne]])</f>
        <v>5414.4750000000004</v>
      </c>
      <c r="I720" s="6">
        <f>I719+energia[[#This Row],[Łączna produkcja]]-energia[[#This Row],[Zapotrzebowanie]]</f>
        <v>81624.822000000058</v>
      </c>
      <c r="J720" t="b">
        <f>IF(energia[[#This Row],[Magazyn]]&lt;0,TRUE,FALSE)</f>
        <v>0</v>
      </c>
    </row>
    <row r="721" spans="1:10" x14ac:dyDescent="0.3">
      <c r="A721" s="1">
        <v>45412</v>
      </c>
      <c r="B721">
        <v>24</v>
      </c>
      <c r="C721">
        <v>5379.9129999999996</v>
      </c>
      <c r="D721">
        <v>0</v>
      </c>
      <c r="E721" t="b">
        <f>IF(energia[[#This Row],[Zrodla_wiatrowe]]&gt;C720,TRUE,FALSE)</f>
        <v>0</v>
      </c>
      <c r="F721">
        <f>IF(energia[[#This Row],[Czy wiatr rosło]],F720+1,1)</f>
        <v>1</v>
      </c>
      <c r="G721">
        <v>1882.502</v>
      </c>
      <c r="H721" s="6">
        <f>(energia[[#This Row],[Zrodla_wiatrowe]]+energia[[#This Row],[Zrodla_fotowoltaiczne]])</f>
        <v>5379.9129999999996</v>
      </c>
      <c r="I721" s="6">
        <f>I720+energia[[#This Row],[Łączna produkcja]]-energia[[#This Row],[Zapotrzebowanie]]</f>
        <v>85122.233000000066</v>
      </c>
      <c r="J721" t="b">
        <f>IF(energia[[#This Row],[Magazyn]]&lt;0,TRUE,FALSE)</f>
        <v>0</v>
      </c>
    </row>
  </sheetData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16EE57-958A-4CA2-9318-7F9D9352AD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Choroś</dc:creator>
  <cp:lastModifiedBy>Wojtek Choroś</cp:lastModifiedBy>
  <dcterms:created xsi:type="dcterms:W3CDTF">2015-06-05T18:19:34Z</dcterms:created>
  <dcterms:modified xsi:type="dcterms:W3CDTF">2026-02-05T08:26:15Z</dcterms:modified>
</cp:coreProperties>
</file>